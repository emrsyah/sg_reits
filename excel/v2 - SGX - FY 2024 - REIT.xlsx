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38U" sheetId="1" r:id="rId5"/>
    <sheet state="visible" name="A17U" sheetId="2" r:id="rId6"/>
    <sheet state="visible" name="N2IU" sheetId="3" r:id="rId7"/>
    <sheet state="visible" name="M44U" sheetId="4" r:id="rId8"/>
    <sheet state="visible" name="ME8U" sheetId="5" r:id="rId9"/>
    <sheet state="visible" name="J69U" sheetId="6" r:id="rId10"/>
    <sheet state="visible" name="T82U" sheetId="7" r:id="rId11"/>
    <sheet state="visible" name="K71U" sheetId="8" r:id="rId12"/>
    <sheet state="visible" name="BUOU" sheetId="9" r:id="rId13"/>
    <sheet state="visible" name="C2PU" sheetId="10" r:id="rId14"/>
    <sheet state="visible" name="AJBU" sheetId="11" r:id="rId15"/>
  </sheets>
  <definedNames/>
  <calcPr/>
</workbook>
</file>

<file path=xl/sharedStrings.xml><?xml version="1.0" encoding="utf-8"?>
<sst xmlns="http://schemas.openxmlformats.org/spreadsheetml/2006/main" count="1937" uniqueCount="423">
  <si>
    <t>symbol</t>
  </si>
  <si>
    <t>C38U.SI</t>
  </si>
  <si>
    <t>url</t>
  </si>
  <si>
    <t>https://investor.cict.com.sg/misc/ar2024.pdf</t>
  </si>
  <si>
    <t>Date</t>
  </si>
  <si>
    <t>currency</t>
  </si>
  <si>
    <t>SGD</t>
  </si>
  <si>
    <t>Property Portfolio</t>
  </si>
  <si>
    <t>BALANCE SHEET</t>
  </si>
  <si>
    <t>Breakdown of: top 20 property by Gross Revenue</t>
  </si>
  <si>
    <t>Employee</t>
  </si>
  <si>
    <t>total revenue</t>
  </si>
  <si>
    <t>revenue category</t>
  </si>
  <si>
    <t>Breakdown of: total revenue</t>
  </si>
  <si>
    <t>expense category</t>
  </si>
  <si>
    <t>Breakdown of: operating expenses</t>
  </si>
  <si>
    <t>Breakdown of: top 10 customers by Gross Rental Income (GRI%)</t>
  </si>
  <si>
    <t>Current Asset</t>
  </si>
  <si>
    <t>property destination</t>
  </si>
  <si>
    <t>property category</t>
  </si>
  <si>
    <t>Property name</t>
  </si>
  <si>
    <t>Interest</t>
  </si>
  <si>
    <t>Market Valuation</t>
  </si>
  <si>
    <t>Gross Revenue</t>
  </si>
  <si>
    <t>Occupancy Rate</t>
  </si>
  <si>
    <t>Permanent</t>
  </si>
  <si>
    <t>cost of revenue</t>
  </si>
  <si>
    <t>Product/Service Sales</t>
  </si>
  <si>
    <t>Gross rental</t>
  </si>
  <si>
    <t>General &amp; Admin</t>
  </si>
  <si>
    <t>Management fees</t>
  </si>
  <si>
    <t>RC Hotels (Pte) Ltd</t>
  </si>
  <si>
    <t>Hospitality &amp; Leisure</t>
  </si>
  <si>
    <t>Non-Current Asset</t>
  </si>
  <si>
    <t>Singapore</t>
  </si>
  <si>
    <t>Integrated Development</t>
  </si>
  <si>
    <t>Raffles City Singapore</t>
  </si>
  <si>
    <t>Contract</t>
  </si>
  <si>
    <t>gross income</t>
  </si>
  <si>
    <t>Car park</t>
  </si>
  <si>
    <t>Professional fees</t>
  </si>
  <si>
    <t>GIC Private Limited</t>
  </si>
  <si>
    <t>Banking, Insurance &amp; Financial Services</t>
  </si>
  <si>
    <t>TOTAL ASSET</t>
  </si>
  <si>
    <t>Office</t>
  </si>
  <si>
    <t>Asia Square Tower 2</t>
  </si>
  <si>
    <t>Others</t>
  </si>
  <si>
    <t>operating expenses</t>
  </si>
  <si>
    <t>Other income</t>
  </si>
  <si>
    <t>Trustee's fees</t>
  </si>
  <si>
    <t>Temasek Holdings</t>
  </si>
  <si>
    <t>Current Liabilities</t>
  </si>
  <si>
    <t>CapitaGreen</t>
  </si>
  <si>
    <t>TOTAL NUMBER OF EMPLOYEES</t>
  </si>
  <si>
    <t>net operating income</t>
  </si>
  <si>
    <t>Audit fees</t>
  </si>
  <si>
    <t>NTUC Enterprise Co-Operative Ltd</t>
  </si>
  <si>
    <t>Other Retail Trades</t>
  </si>
  <si>
    <t>Non-Current Liabilities</t>
  </si>
  <si>
    <t>Plaza Singapura</t>
  </si>
  <si>
    <t>net non operating income/(expenses)</t>
  </si>
  <si>
    <t>Other expenses</t>
  </si>
  <si>
    <t>The Work Project Group</t>
  </si>
  <si>
    <t>Real Estate &amp; Property Services</t>
  </si>
  <si>
    <t>TOTAL LIABILITIES</t>
  </si>
  <si>
    <t>Retail</t>
  </si>
  <si>
    <t>IMM Building</t>
  </si>
  <si>
    <t>pretax income</t>
  </si>
  <si>
    <t>Valuation fees</t>
  </si>
  <si>
    <t>Cold Storage Singapore (1983) Pte Ltd</t>
  </si>
  <si>
    <t>TOTAL SHAREHOLDER'S EQUITY</t>
  </si>
  <si>
    <t>Bugis Junction</t>
  </si>
  <si>
    <t>tax</t>
  </si>
  <si>
    <t>BreadTalk Group Pte Ltd</t>
  </si>
  <si>
    <t>Food &amp; Beverages</t>
  </si>
  <si>
    <t>Tampines Mall</t>
  </si>
  <si>
    <t>net income</t>
  </si>
  <si>
    <t>UNIQLO (Singapore) Pte. Ltd.</t>
  </si>
  <si>
    <t>Fashion &amp; Accessories</t>
  </si>
  <si>
    <t>Working Capital</t>
  </si>
  <si>
    <t>Capital Tower</t>
  </si>
  <si>
    <t>minorities</t>
  </si>
  <si>
    <t>KPMG Services Pte. Ltd.</t>
  </si>
  <si>
    <t>Other Office Trades</t>
  </si>
  <si>
    <t>Westgate</t>
  </si>
  <si>
    <t>perpetual security holders</t>
  </si>
  <si>
    <t>Mizuho Group</t>
  </si>
  <si>
    <t>CASH FLOW</t>
  </si>
  <si>
    <t>CapitaSky</t>
  </si>
  <si>
    <t>unitholders</t>
  </si>
  <si>
    <t>sum</t>
  </si>
  <si>
    <t>Cash Flows from Operating Activities</t>
  </si>
  <si>
    <t>Six Battery Road</t>
  </si>
  <si>
    <t>non operating interest expense</t>
  </si>
  <si>
    <t>Cash Flows from Investing Activities</t>
  </si>
  <si>
    <t>Funan</t>
  </si>
  <si>
    <t>ebit</t>
  </si>
  <si>
    <t>Breakdown of: by Gross Rental Income (GRI%)</t>
  </si>
  <si>
    <t>Cash Flows from Financing Activities</t>
  </si>
  <si>
    <t>Bugis+</t>
  </si>
  <si>
    <t>depreciation and amortization</t>
  </si>
  <si>
    <t>NET INCREASE/DECREASED</t>
  </si>
  <si>
    <t>Bukit Panjang Plaza</t>
  </si>
  <si>
    <t>ebitda</t>
  </si>
  <si>
    <t>Junction 8</t>
  </si>
  <si>
    <t>gain/(loss) on property sales</t>
  </si>
  <si>
    <t>Bedok Mall</t>
  </si>
  <si>
    <t>FFO</t>
  </si>
  <si>
    <t>Beauty &amp; Health</t>
  </si>
  <si>
    <t>CapitaSpring</t>
  </si>
  <si>
    <t>The Atrium@Orchard</t>
  </si>
  <si>
    <t>Lot One Shoppers' Mall</t>
  </si>
  <si>
    <t>IT &amp; Telecommunications</t>
  </si>
  <si>
    <t>CQ @ Clarke Quay</t>
  </si>
  <si>
    <t>Breakdown of: property portfolio</t>
  </si>
  <si>
    <t>Number of property</t>
  </si>
  <si>
    <t>match</t>
  </si>
  <si>
    <t>Australia</t>
  </si>
  <si>
    <t>Germany</t>
  </si>
  <si>
    <t>Net PP&amp;E (previous year)</t>
  </si>
  <si>
    <t>Net PP&amp;E (current)</t>
  </si>
  <si>
    <t>Depreciation expenses (current)</t>
  </si>
  <si>
    <t>CAPITAL EXPENDITURE</t>
  </si>
  <si>
    <t>Number of shares</t>
  </si>
  <si>
    <t xml:space="preserve">Weighted average number of ordinary shares in issue (basic) </t>
  </si>
  <si>
    <t>Weighted average number of ordinary shares in issue (diluted)</t>
  </si>
  <si>
    <t>Distributable income</t>
  </si>
  <si>
    <t>Adjusted distributable income</t>
  </si>
  <si>
    <t>Distribution paid</t>
  </si>
  <si>
    <t>End-of-year distribution</t>
  </si>
  <si>
    <t>End-of-year shareholder units</t>
  </si>
  <si>
    <t>Units to be issued</t>
  </si>
  <si>
    <t>A17U.SI</t>
  </si>
  <si>
    <t>https://investor.capitaland-ascendasreit.com/misc/CapitaLand-Ascendas-REIT-AR2024.pdf</t>
  </si>
  <si>
    <t>Property rental</t>
  </si>
  <si>
    <t>Singapore Telecommunications Ltd</t>
  </si>
  <si>
    <t>Business Space</t>
  </si>
  <si>
    <t>Galaxis</t>
  </si>
  <si>
    <t>DSO National Laboratories</t>
  </si>
  <si>
    <t>Science</t>
  </si>
  <si>
    <t>Industrial</t>
  </si>
  <si>
    <t>Aperia</t>
  </si>
  <si>
    <t>SEA Group</t>
  </si>
  <si>
    <t>ONE@Changi City</t>
  </si>
  <si>
    <t>Strip Inc.</t>
  </si>
  <si>
    <t>12, 14 &amp; 16 Science Park Drive</t>
  </si>
  <si>
    <t>Entserv UK Limited</t>
  </si>
  <si>
    <t xml:space="preserve"> Life Sciences</t>
  </si>
  <si>
    <t>Nucleos</t>
  </si>
  <si>
    <t>DBS Bank Ltd</t>
  </si>
  <si>
    <t>Neuros &amp; Immunos</t>
  </si>
  <si>
    <t>Seagate Singapore</t>
  </si>
  <si>
    <t>Logistics</t>
  </si>
  <si>
    <t>40 Penjuru Lane</t>
  </si>
  <si>
    <t>Citibank, N.A.</t>
  </si>
  <si>
    <t>1, 3 &amp; 5 Changi Business Park Crescent</t>
  </si>
  <si>
    <t>Pinterest Inc.</t>
  </si>
  <si>
    <t>Data Centers</t>
  </si>
  <si>
    <t>Telepark</t>
  </si>
  <si>
    <t>JP Morgan Chase Bank, N.A.</t>
  </si>
  <si>
    <t>TechPlace II</t>
  </si>
  <si>
    <t>Techview</t>
  </si>
  <si>
    <t>The Shugart</t>
  </si>
  <si>
    <t>Corporation Place</t>
  </si>
  <si>
    <t>80 Bendemeer Road</t>
  </si>
  <si>
    <t>Logistics &amp; Supply Chain Management</t>
  </si>
  <si>
    <t>DBS Asia Hub</t>
  </si>
  <si>
    <t>Techlink</t>
  </si>
  <si>
    <t>The Aries, Sparkle &amp; Gemini</t>
  </si>
  <si>
    <t>Government Related</t>
  </si>
  <si>
    <t>The Galen</t>
  </si>
  <si>
    <t>Nexus @one-north</t>
  </si>
  <si>
    <t>Pioneer Hub</t>
  </si>
  <si>
    <t>United States</t>
  </si>
  <si>
    <t>United Kingdom</t>
  </si>
  <si>
    <t>France</t>
  </si>
  <si>
    <t>N2IU.SI</t>
  </si>
  <si>
    <t>https://investor.mapletreepact.com/newsroom/20250627_071024_N2IU_A865ED2W965R9N0P.1.pdf</t>
  </si>
  <si>
    <t>Google Asia Pacific Pte. Ltd.</t>
  </si>
  <si>
    <t>VivoCity</t>
  </si>
  <si>
    <t>BMW</t>
  </si>
  <si>
    <t>Manufacturing</t>
  </si>
  <si>
    <t>Mapletree Business City I</t>
  </si>
  <si>
    <t>Other trust expenses</t>
  </si>
  <si>
    <t>The Hongkong and Shanghai Banking Corporation Limited</t>
  </si>
  <si>
    <t>mTower</t>
  </si>
  <si>
    <t>Merrill Lynch Global Services Pte. Ltd.</t>
  </si>
  <si>
    <t>Bank of America Harbourfront</t>
  </si>
  <si>
    <t>Hewlett-Packard Japan, Ltd.</t>
  </si>
  <si>
    <t>Mapletree Business City II</t>
  </si>
  <si>
    <t>TaSTe</t>
  </si>
  <si>
    <t>Hong Kong</t>
  </si>
  <si>
    <t>Festival Walk</t>
  </si>
  <si>
    <t>Arup</t>
  </si>
  <si>
    <t>China</t>
  </si>
  <si>
    <t>Gateway Plaza, Beijing</t>
  </si>
  <si>
    <t>Infocomm Media Development Authority</t>
  </si>
  <si>
    <t>Sandhill Plaza, Shanghai</t>
  </si>
  <si>
    <t xml:space="preserve">Mapletree Investments Pte Ltd </t>
  </si>
  <si>
    <t>Japan</t>
  </si>
  <si>
    <t>IXINAL Monzen-nakacho Building, Tokyo</t>
  </si>
  <si>
    <t>Higashi-nihonbashi 1-chome Building, Tokyo</t>
  </si>
  <si>
    <t>TS Ikebukuro Building</t>
  </si>
  <si>
    <t>ABAS Shin-Yokohama Building, Yokohama</t>
  </si>
  <si>
    <t>Makuhari Bay Tower, Chiba</t>
  </si>
  <si>
    <t>Fujitsu Makuhari Building, Chiba</t>
  </si>
  <si>
    <t>Omori Prime Building, Tokyo</t>
  </si>
  <si>
    <t>mBay POINT Makuhari, Chiba</t>
  </si>
  <si>
    <t>Hewlett-Packard Japan Headquarters Building, Tokyo</t>
  </si>
  <si>
    <t>Departmental Store/Supermarket</t>
  </si>
  <si>
    <t>South Korea</t>
  </si>
  <si>
    <t>The Pinnacle Gangnam</t>
  </si>
  <si>
    <t>M44U.SI</t>
  </si>
  <si>
    <t>https://investor.mapletreelogisticstrust.com/newsroom/20250620_071305_M44U_W4WC665GQ77T049L.1.pdf</t>
  </si>
  <si>
    <t>Equinix</t>
  </si>
  <si>
    <t>Mapletree Logistics Hub Tsing Yi</t>
  </si>
  <si>
    <t>Service charges</t>
  </si>
  <si>
    <t>CWT</t>
  </si>
  <si>
    <t>Jurong Logistics Hub</t>
  </si>
  <si>
    <t>Coles Group</t>
  </si>
  <si>
    <t>Shatin No. 3</t>
  </si>
  <si>
    <t>S.F. Express</t>
  </si>
  <si>
    <t>Coles Chilled Distribution Centre, 3 Roberts Road, Eastern Creek, NSW</t>
  </si>
  <si>
    <t>HKTV</t>
  </si>
  <si>
    <t>6 Fishery Port Road</t>
  </si>
  <si>
    <t>YCH Group</t>
  </si>
  <si>
    <t>Malaysia</t>
  </si>
  <si>
    <t>Mapletree Logistics Hub Shah Alam</t>
  </si>
  <si>
    <t>Coupang Inc.</t>
  </si>
  <si>
    <t>Shatin No. 4</t>
  </si>
  <si>
    <t>Woolworths</t>
  </si>
  <si>
    <t>Grandtech Centre</t>
  </si>
  <si>
    <t>Cainiao</t>
  </si>
  <si>
    <t>Mapletree Benoi Logistics Hub</t>
  </si>
  <si>
    <t>Bidvest Group</t>
  </si>
  <si>
    <t>Kuwana Centre</t>
  </si>
  <si>
    <t>Mapletree Pioneer Logistics Hub</t>
  </si>
  <si>
    <t>52 Tanjong Penjuru</t>
  </si>
  <si>
    <t>Mapletree Logistics Hub, Toh Guan</t>
  </si>
  <si>
    <t>4 Pandan Avenue</t>
  </si>
  <si>
    <t>1 Wang Wo Tsai Street</t>
  </si>
  <si>
    <t>Mapletree Logistics Hub Jubli Shah Alam</t>
  </si>
  <si>
    <t>Mapletree Kobe Logistics Centre</t>
  </si>
  <si>
    <t>5A Toh Guan Road East</t>
  </si>
  <si>
    <t>Mapletree (Wenzhou) Industrial Park</t>
  </si>
  <si>
    <t>Mapletree Logistics Centre – Majang 3</t>
  </si>
  <si>
    <t>India</t>
  </si>
  <si>
    <t>Vietnam</t>
  </si>
  <si>
    <t>ME8U.SI</t>
  </si>
  <si>
    <t>https://fct.frasersproperty.com/misc/FCT-AR-2025.pdf</t>
  </si>
  <si>
    <t>Rental and service charges</t>
  </si>
  <si>
    <t>HP Singapore Pte. Ltd.</t>
  </si>
  <si>
    <t>Stack-up Buildings</t>
  </si>
  <si>
    <t>Woodlands Spectrum 1 &amp; 2</t>
  </si>
  <si>
    <t>Global Colocation Provider</t>
  </si>
  <si>
    <t>Hi-Tech Buildings</t>
  </si>
  <si>
    <t>1 &amp; 1A Depot Close</t>
  </si>
  <si>
    <t>Established Data Centre Operator</t>
  </si>
  <si>
    <t>250 Williams Street NW, Atlanta</t>
  </si>
  <si>
    <t>Global Social Media Company</t>
  </si>
  <si>
    <t>180 Peachtree Street NW, Atlanta</t>
  </si>
  <si>
    <t>AT&amp;T Inc.</t>
  </si>
  <si>
    <t>18 Tai Seng</t>
  </si>
  <si>
    <t>The Bank of America Corporation</t>
  </si>
  <si>
    <t>Business Park</t>
  </si>
  <si>
    <t>The Strategy</t>
  </si>
  <si>
    <t>Equinix Singapore Pte. Ltd.</t>
  </si>
  <si>
    <t>Flatted Factories</t>
  </si>
  <si>
    <t>Kaki Bukit</t>
  </si>
  <si>
    <t>STT Tai Seng Pte. Ltd.</t>
  </si>
  <si>
    <t>Osaka Data Centre</t>
  </si>
  <si>
    <t>Lumen Technologies, Inc.</t>
  </si>
  <si>
    <t>7337 Trade Street, San Diego</t>
  </si>
  <si>
    <t>Vanderbilt University Medical Center</t>
  </si>
  <si>
    <t>Serangoon North</t>
  </si>
  <si>
    <t>8011 Villa Park Drive, Richmond</t>
  </si>
  <si>
    <t>Mapletree Hi-Tech Park @ Kallang Way</t>
  </si>
  <si>
    <t>30A Kallang Place</t>
  </si>
  <si>
    <t>Chai Chee Lane</t>
  </si>
  <si>
    <t>The Signature</t>
  </si>
  <si>
    <t>Toa Payoh North 1</t>
  </si>
  <si>
    <t>Kampong Ampat</t>
  </si>
  <si>
    <t>400 Minuteman Road, Andover</t>
  </si>
  <si>
    <t>Woodlands Central</t>
  </si>
  <si>
    <t>STT Tai Seng 1</t>
  </si>
  <si>
    <t>J69U.SI</t>
  </si>
  <si>
    <t>https://fct.frasersproperty.com/misc/Frasers-Centrepoint-Trust-AR2024.pdf</t>
  </si>
  <si>
    <t>Rental</t>
  </si>
  <si>
    <t>NTUC FairPrice</t>
  </si>
  <si>
    <t>Causeway Point</t>
  </si>
  <si>
    <t>Turnover Rental</t>
  </si>
  <si>
    <t>BreadTalk Group</t>
  </si>
  <si>
    <t>Northpoint City North Wing (including Yishun 10 Retail Podium)</t>
  </si>
  <si>
    <t>Carpark</t>
  </si>
  <si>
    <t>Dairy Farm Group</t>
  </si>
  <si>
    <t>Tampines 1</t>
  </si>
  <si>
    <t>Audit fee</t>
  </si>
  <si>
    <t>Courts (Singapore) Pte Ltd</t>
  </si>
  <si>
    <t>Tiong Bahru Plaza</t>
  </si>
  <si>
    <t>Metro (Private) Ltd</t>
  </si>
  <si>
    <t>Century Square</t>
  </si>
  <si>
    <t>Other</t>
  </si>
  <si>
    <t>Hanbaoboa Pte Ltd</t>
  </si>
  <si>
    <t>Hougang Mall</t>
  </si>
  <si>
    <t>Overseas-Chinese Banking Corporation Ltd</t>
  </si>
  <si>
    <t>White Sands</t>
  </si>
  <si>
    <t>R E &amp; S Enterprises Pte Ltd</t>
  </si>
  <si>
    <t>Central Plaza</t>
  </si>
  <si>
    <t>Beauty One International</t>
  </si>
  <si>
    <t>NEX</t>
  </si>
  <si>
    <t>Uniqlo (Singapore) Pte Ltd</t>
  </si>
  <si>
    <t>Waterway Point</t>
  </si>
  <si>
    <t>T82U.SI</t>
  </si>
  <si>
    <t>https://suntecreit.listedcompany.com/newsroom/20250325_073831_T82U_2BYFMY5WOSSNEU8J.1.pdf</t>
  </si>
  <si>
    <t>Deloitte Service Pty Ltd</t>
  </si>
  <si>
    <t>Suntec City Mall</t>
  </si>
  <si>
    <t>TikTok Pte. Ltd</t>
  </si>
  <si>
    <t>Suntec City Office Towers</t>
  </si>
  <si>
    <t>CIMIC Group</t>
  </si>
  <si>
    <t>Suntec Singapore</t>
  </si>
  <si>
    <t>TPG Telecom Limited</t>
  </si>
  <si>
    <t>177 Pacific Highway, Sydney</t>
  </si>
  <si>
    <t>Publicis Groupe</t>
  </si>
  <si>
    <t>21 Harris Street, Sydney</t>
  </si>
  <si>
    <t>Standard Chartered Bank</t>
  </si>
  <si>
    <t>55 Currie Street, Adelaide</t>
  </si>
  <si>
    <t>Olderfleet, 477 Collins Street, Melbourne</t>
  </si>
  <si>
    <t>Arcade Planet Pte. Ltd.</t>
  </si>
  <si>
    <t>The Minister Building</t>
  </si>
  <si>
    <t>Golden Village Multiplex Pte Ltd</t>
  </si>
  <si>
    <t>Southgate Complex, Melbourne</t>
  </si>
  <si>
    <t>Kingwon Entertainment Management Pte. Ltd.</t>
  </si>
  <si>
    <t>One Raffles Quay</t>
  </si>
  <si>
    <t>MBFC Properties</t>
  </si>
  <si>
    <t>Nova Properties, London</t>
  </si>
  <si>
    <t>K71U.SI</t>
  </si>
  <si>
    <t>https://wpcms.keppel.com/wm/cms-site/kpl/file/media/2025/Mar/25-mar-kreit/kreit-annual-report-2024.pdf</t>
  </si>
  <si>
    <t>Trust expenses</t>
  </si>
  <si>
    <t>Minister for Finance – State of Victoria</t>
  </si>
  <si>
    <t>Commercial</t>
  </si>
  <si>
    <t>Ocean Financial Centre</t>
  </si>
  <si>
    <t>DBS Bank</t>
  </si>
  <si>
    <t>Keppel Bay Tower</t>
  </si>
  <si>
    <t>Minister for Works – Government of Western Australia</t>
  </si>
  <si>
    <t>8 Exhibition Street</t>
  </si>
  <si>
    <t>BNP Paribas</t>
  </si>
  <si>
    <t>Victoria Police Centre</t>
  </si>
  <si>
    <t>The Executive Centre</t>
  </si>
  <si>
    <t>Pinnacle Office Park</t>
  </si>
  <si>
    <t>Keppel</t>
  </si>
  <si>
    <t>2 Blue Street</t>
  </si>
  <si>
    <t>Ernst &amp; Young</t>
  </si>
  <si>
    <t>255 George Street</t>
  </si>
  <si>
    <t>TikTok</t>
  </si>
  <si>
    <t>T Tower</t>
  </si>
  <si>
    <t>Australian Taxation Office</t>
  </si>
  <si>
    <t>KR Ginza II</t>
  </si>
  <si>
    <t>8 Chifley Square</t>
  </si>
  <si>
    <t>David Malcolm Justice Centre</t>
  </si>
  <si>
    <t>Marina Bay Financial Centre Towers 1 &amp; 2 &amp; 3 and Marina Bay Link Mall</t>
  </si>
  <si>
    <t>Mining &amp; Resources</t>
  </si>
  <si>
    <t>BUOU.SI</t>
  </si>
  <si>
    <t>https://flct.frasersproperty.com/misc/FLCT-AR2024.pdf</t>
  </si>
  <si>
    <t>Services Australia, Commonwealth of Australia</t>
  </si>
  <si>
    <t>Alexandra Technopark, 438A/438B/438C Alexandra Road</t>
  </si>
  <si>
    <t>Recoverable outgoings</t>
  </si>
  <si>
    <t>Hermes</t>
  </si>
  <si>
    <t>Central Park, 152-158 St Georges Terrace, Perth</t>
  </si>
  <si>
    <t>CEVA Logistics</t>
  </si>
  <si>
    <t>Farnborough Business Park, Hampshire</t>
  </si>
  <si>
    <t>Google Asia Pacific</t>
  </si>
  <si>
    <t>Caroline Chisholm Centre, Tuggeranong</t>
  </si>
  <si>
    <t>Rio Tinto</t>
  </si>
  <si>
    <t>Blythe Valley Business Park, Shirley, Solihull</t>
  </si>
  <si>
    <t>357 Collins Street, Melbourne</t>
  </si>
  <si>
    <t>FDM Warehousing</t>
  </si>
  <si>
    <t>Maxis Business Park, 43 Western Road, Bracknell</t>
  </si>
  <si>
    <t>Commonwealth Bank of Australia</t>
  </si>
  <si>
    <t>4-8 Kangaroo Avenue, Eastern Creek</t>
  </si>
  <si>
    <t>Mainfreight</t>
  </si>
  <si>
    <t>Europe</t>
  </si>
  <si>
    <t>Brede Steeg 1, s-Heerenberg</t>
  </si>
  <si>
    <t>Schenker</t>
  </si>
  <si>
    <t>1 Doriemus Drive, Truganina</t>
  </si>
  <si>
    <t>Industriepark 309, Gottmadingen</t>
  </si>
  <si>
    <t>Bietigheimer Straße 50-52, Tamm</t>
  </si>
  <si>
    <t>Oberes Feld 2, 4, 6, 8, Moosthenning</t>
  </si>
  <si>
    <t>1 Burilda Close, Wetherill Park</t>
  </si>
  <si>
    <t>21 Kangaroo Avenue, Eastern Creek</t>
  </si>
  <si>
    <t>Koperstraße 10, Nuremberg</t>
  </si>
  <si>
    <t>Ellesmere Port, Cheshire</t>
  </si>
  <si>
    <t>2 Hanson Place, Eastern Creek</t>
  </si>
  <si>
    <t>Otto-Hahn Straße 10, Vaihingen</t>
  </si>
  <si>
    <t>Handelsweg 26, Zeewolde</t>
  </si>
  <si>
    <t>C2PU.SI</t>
  </si>
  <si>
    <t>https://plifereit.listedcompany.com/newsroom/20260331_073816_C2PU_6QQ0IEGMJ5B1TON1.1.pdf</t>
  </si>
  <si>
    <t>Property rental income</t>
  </si>
  <si>
    <t>DSV</t>
  </si>
  <si>
    <t>Icehouse Logistics</t>
  </si>
  <si>
    <t>Constellium</t>
  </si>
  <si>
    <t>AJBU.SI</t>
  </si>
  <si>
    <t>https://www.keppel.com/file/investor-relations/annual-reports/keppel-ltd-annual-report-2024.pdf</t>
  </si>
  <si>
    <t>Occupancy Rate (%)</t>
  </si>
  <si>
    <t>Sale of electricity, utilities and gases</t>
  </si>
  <si>
    <t>Salaries &amp; Benefits</t>
  </si>
  <si>
    <t>Staff costs</t>
  </si>
  <si>
    <t>Freehold Land</t>
  </si>
  <si>
    <t>Telecommunication and ICT services</t>
  </si>
  <si>
    <t>Depreciation and amortization</t>
  </si>
  <si>
    <t>Buildings</t>
  </si>
  <si>
    <t>Sale of goods</t>
  </si>
  <si>
    <t>Buildings on Leasehold Land</t>
  </si>
  <si>
    <t>Construction contracts</t>
  </si>
  <si>
    <t>Networks &amp; Related Application Systems</t>
  </si>
  <si>
    <t>Sale of property</t>
  </si>
  <si>
    <t>Plant, Machinery, Equipment &amp; Others</t>
  </si>
  <si>
    <t>Other services rendered</t>
  </si>
  <si>
    <t>Asset management service</t>
  </si>
  <si>
    <t>Rental income</t>
  </si>
  <si>
    <t>Infrastructure</t>
  </si>
  <si>
    <t>Real Estate</t>
  </si>
  <si>
    <t>Connectivity</t>
  </si>
  <si>
    <t>Corporate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</si>
</sst>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;(#,##0)"/>
    <numFmt numFmtId="165" formatCode="#,##0;\(#,##0\)"/>
    <numFmt numFmtId="166" formatCode="#,##0.0;(#,##0.0)"/>
    <numFmt numFmtId="167" formatCode="yyyy-mm-dd"/>
    <numFmt numFmtId="168" formatCode="0.0"/>
    <numFmt numFmtId="169" formatCode="#,##0.0"/>
    <numFmt numFmtId="170" formatCode="#,##0.00;\(#,##0.00\)"/>
    <numFmt numFmtId="171" formatCode="#,##0.00;(#,##0.00)"/>
  </numFmts>
  <fonts count="16">
    <font>
      <sz val="10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color theme="1"/>
      <name val="Arial"/>
    </font>
    <font>
      <u/>
      <sz val="12.0"/>
      <color rgb="FF0000FF"/>
    </font>
    <font>
      <sz val="12.0"/>
      <color theme="1"/>
      <name val="Arial"/>
    </font>
    <font>
      <b/>
      <sz val="12.0"/>
      <color theme="1"/>
      <name val="Arial"/>
      <scheme val="minor"/>
    </font>
    <font/>
    <font>
      <sz val="12.0"/>
      <color rgb="FF111111"/>
      <name val="Arial"/>
    </font>
    <font>
      <sz val="12.0"/>
      <color theme="1"/>
      <name val="Roboto"/>
    </font>
    <font>
      <color theme="1"/>
      <name val="Arial"/>
      <scheme val="minor"/>
    </font>
    <font>
      <sz val="12.0"/>
      <color rgb="FF111111"/>
      <name val="Roboto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2" fontId="2" numFmtId="164" xfId="0" applyAlignment="1" applyFill="1" applyFont="1" applyNumberFormat="1">
      <alignment readingOrder="0" vertical="bottom"/>
    </xf>
    <xf borderId="0" fillId="0" fontId="3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4" numFmtId="164" xfId="0" applyAlignment="1" applyFont="1" applyNumberFormat="1">
      <alignment readingOrder="0" vertical="bottom"/>
    </xf>
    <xf borderId="0" fillId="0" fontId="5" numFmtId="165" xfId="0" applyAlignment="1" applyFont="1" applyNumberFormat="1">
      <alignment vertical="bottom"/>
    </xf>
    <xf borderId="1" fillId="2" fontId="5" numFmtId="167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Font="1"/>
    <xf borderId="0" fillId="3" fontId="1" numFmtId="164" xfId="0" applyAlignment="1" applyFill="1" applyFont="1" applyNumberFormat="1">
      <alignment readingOrder="0" vertical="bottom"/>
    </xf>
    <xf borderId="0" fillId="0" fontId="1" numFmtId="0" xfId="0" applyAlignment="1" applyFont="1">
      <alignment readingOrder="0"/>
    </xf>
    <xf borderId="2" fillId="0" fontId="1" numFmtId="164" xfId="0" applyAlignment="1" applyBorder="1" applyFont="1" applyNumberFormat="1">
      <alignment vertical="bottom"/>
    </xf>
    <xf borderId="2" fillId="4" fontId="1" numFmtId="164" xfId="0" applyAlignment="1" applyBorder="1" applyFill="1" applyFont="1" applyNumberFormat="1">
      <alignment vertical="bottom"/>
    </xf>
    <xf borderId="3" fillId="0" fontId="6" numFmtId="164" xfId="0" applyAlignment="1" applyBorder="1" applyFont="1" applyNumberFormat="1">
      <alignment horizontal="center" readingOrder="0" vertical="bottom"/>
    </xf>
    <xf borderId="4" fillId="0" fontId="7" numFmtId="0" xfId="0" applyBorder="1" applyFont="1"/>
    <xf borderId="5" fillId="0" fontId="7" numFmtId="0" xfId="0" applyBorder="1" applyFont="1"/>
    <xf borderId="6" fillId="0" fontId="1" numFmtId="164" xfId="0" applyAlignment="1" applyBorder="1" applyFont="1" applyNumberFormat="1">
      <alignment vertical="bottom"/>
    </xf>
    <xf borderId="7" fillId="2" fontId="1" numFmtId="164" xfId="0" applyAlignment="1" applyBorder="1" applyFont="1" applyNumberFormat="1">
      <alignment horizontal="right" readingOrder="0" vertical="bottom"/>
    </xf>
    <xf borderId="8" fillId="0" fontId="1" numFmtId="164" xfId="0" applyAlignment="1" applyBorder="1" applyFont="1" applyNumberFormat="1">
      <alignment vertical="bottom"/>
    </xf>
    <xf borderId="3" fillId="0" fontId="6" numFmtId="164" xfId="0" applyAlignment="1" applyBorder="1" applyFont="1" applyNumberFormat="1">
      <alignment horizontal="center" vertical="bottom"/>
    </xf>
    <xf borderId="4" fillId="0" fontId="6" numFmtId="164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readingOrder="0"/>
    </xf>
    <xf borderId="6" fillId="2" fontId="1" numFmtId="164" xfId="0" applyAlignment="1" applyBorder="1" applyFont="1" applyNumberFormat="1">
      <alignment readingOrder="0"/>
    </xf>
    <xf borderId="6" fillId="0" fontId="6" numFmtId="164" xfId="0" applyAlignment="1" applyBorder="1" applyFont="1" applyNumberFormat="1">
      <alignment vertical="bottom"/>
    </xf>
    <xf borderId="6" fillId="0" fontId="6" numFmtId="165" xfId="0" applyAlignment="1" applyBorder="1" applyFont="1" applyNumberFormat="1">
      <alignment vertical="bottom"/>
    </xf>
    <xf borderId="6" fillId="0" fontId="6" numFmtId="165" xfId="0" applyAlignment="1" applyBorder="1" applyFont="1" applyNumberFormat="1">
      <alignment horizontal="right" vertical="bottom"/>
    </xf>
    <xf borderId="6" fillId="0" fontId="6" numFmtId="166" xfId="0" applyAlignment="1" applyBorder="1" applyFont="1" applyNumberFormat="1">
      <alignment vertical="bottom"/>
    </xf>
    <xf borderId="6" fillId="2" fontId="1" numFmtId="164" xfId="0" applyAlignment="1" applyBorder="1" applyFont="1" applyNumberFormat="1">
      <alignment readingOrder="0" vertical="bottom"/>
    </xf>
    <xf borderId="5" fillId="2" fontId="1" numFmtId="164" xfId="0" applyAlignment="1" applyBorder="1" applyFont="1" applyNumberFormat="1">
      <alignment horizontal="right" readingOrder="0" vertical="bottom"/>
    </xf>
    <xf borderId="8" fillId="0" fontId="1" numFmtId="164" xfId="0" applyAlignment="1" applyBorder="1" applyFont="1" applyNumberFormat="1">
      <alignment readingOrder="0" vertical="bottom"/>
    </xf>
    <xf borderId="7" fillId="2" fontId="1" numFmtId="164" xfId="0" applyAlignment="1" applyBorder="1" applyFont="1" applyNumberFormat="1">
      <alignment readingOrder="0" vertical="bottom"/>
    </xf>
    <xf borderId="9" fillId="2" fontId="1" numFmtId="164" xfId="0" applyAlignment="1" applyBorder="1" applyFont="1" applyNumberFormat="1">
      <alignment readingOrder="0" vertical="bottom"/>
    </xf>
    <xf borderId="10" fillId="2" fontId="1" numFmtId="164" xfId="0" applyAlignment="1" applyBorder="1" applyFont="1" applyNumberFormat="1">
      <alignment readingOrder="0" vertical="bottom"/>
    </xf>
    <xf borderId="7" fillId="2" fontId="1" numFmtId="166" xfId="0" applyAlignment="1" applyBorder="1" applyFont="1" applyNumberFormat="1">
      <alignment horizontal="right" readingOrder="0" vertical="bottom"/>
    </xf>
    <xf borderId="6" fillId="2" fontId="1" numFmtId="164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horizontal="right" vertical="bottom"/>
    </xf>
    <xf borderId="6" fillId="2" fontId="1" numFmtId="164" xfId="0" applyAlignment="1" applyBorder="1" applyFont="1" applyNumberFormat="1">
      <alignment horizontal="right" vertical="bottom"/>
    </xf>
    <xf borderId="6" fillId="0" fontId="1" numFmtId="166" xfId="0" applyAlignment="1" applyBorder="1" applyFont="1" applyNumberFormat="1">
      <alignment horizontal="right" vertical="bottom"/>
    </xf>
    <xf borderId="7" fillId="5" fontId="1" numFmtId="164" xfId="0" applyAlignment="1" applyBorder="1" applyFill="1" applyFont="1" applyNumberFormat="1">
      <alignment horizontal="right" vertical="bottom"/>
    </xf>
    <xf borderId="7" fillId="2" fontId="1" numFmtId="166" xfId="0" applyAlignment="1" applyBorder="1" applyFont="1" applyNumberFormat="1">
      <alignment readingOrder="0" vertical="bottom"/>
    </xf>
    <xf borderId="6" fillId="0" fontId="1" numFmtId="164" xfId="0" applyAlignment="1" applyBorder="1" applyFont="1" applyNumberFormat="1">
      <alignment readingOrder="0" vertical="bottom"/>
    </xf>
    <xf borderId="6" fillId="5" fontId="1" numFmtId="164" xfId="0" applyAlignment="1" applyBorder="1" applyFont="1" applyNumberFormat="1">
      <alignment horizontal="right" vertical="bottom"/>
    </xf>
    <xf borderId="9" fillId="2" fontId="1" numFmtId="164" xfId="0" applyAlignment="1" applyBorder="1" applyFont="1" applyNumberFormat="1">
      <alignment vertical="bottom"/>
    </xf>
    <xf borderId="3" fillId="2" fontId="1" numFmtId="164" xfId="0" applyAlignment="1" applyBorder="1" applyFont="1" applyNumberFormat="1">
      <alignment readingOrder="0" vertical="bottom"/>
    </xf>
    <xf borderId="6" fillId="5" fontId="1" numFmtId="164" xfId="0" applyAlignment="1" applyBorder="1" applyFont="1" applyNumberFormat="1">
      <alignment horizontal="right" readingOrder="0" vertical="bottom"/>
    </xf>
    <xf borderId="7" fillId="2" fontId="1" numFmtId="164" xfId="0" applyAlignment="1" applyBorder="1" applyFont="1" applyNumberFormat="1">
      <alignment vertical="bottom"/>
    </xf>
    <xf borderId="8" fillId="0" fontId="5" numFmtId="164" xfId="0" applyAlignment="1" applyBorder="1" applyFont="1" applyNumberFormat="1">
      <alignment readingOrder="0" vertical="bottom"/>
    </xf>
    <xf borderId="7" fillId="2" fontId="5" numFmtId="164" xfId="0" applyAlignment="1" applyBorder="1" applyFont="1" applyNumberFormat="1">
      <alignment readingOrder="0" vertical="bottom"/>
    </xf>
    <xf borderId="7" fillId="3" fontId="1" numFmtId="164" xfId="0" applyAlignment="1" applyBorder="1" applyFont="1" applyNumberFormat="1">
      <alignment horizontal="right" readingOrder="0" vertical="bottom"/>
    </xf>
    <xf borderId="6" fillId="5" fontId="1" numFmtId="164" xfId="0" applyAlignment="1" applyBorder="1" applyFont="1" applyNumberFormat="1">
      <alignment readingOrder="0"/>
    </xf>
    <xf borderId="6" fillId="2" fontId="1" numFmtId="9" xfId="0" applyAlignment="1" applyBorder="1" applyFont="1" applyNumberFormat="1">
      <alignment horizontal="right" vertical="bottom"/>
    </xf>
    <xf borderId="9" fillId="0" fontId="1" numFmtId="164" xfId="0" applyAlignment="1" applyBorder="1" applyFont="1" applyNumberFormat="1">
      <alignment vertical="bottom"/>
    </xf>
    <xf borderId="7" fillId="5" fontId="1" numFmtId="166" xfId="0" applyAlignment="1" applyBorder="1" applyFont="1" applyNumberFormat="1">
      <alignment horizontal="right" vertical="bottom"/>
    </xf>
    <xf borderId="6" fillId="2" fontId="1" numFmtId="164" xfId="0" applyAlignment="1" applyBorder="1" applyFont="1" applyNumberFormat="1">
      <alignment horizontal="right" readingOrder="0" vertical="bottom"/>
    </xf>
    <xf borderId="6" fillId="5" fontId="5" numFmtId="164" xfId="0" applyAlignment="1" applyBorder="1" applyFont="1" applyNumberFormat="1">
      <alignment horizontal="right" vertical="bottom"/>
    </xf>
    <xf borderId="0" fillId="0" fontId="1" numFmtId="164" xfId="0" applyFont="1" applyNumberFormat="1"/>
    <xf borderId="3" fillId="0" fontId="6" numFmtId="165" xfId="0" applyAlignment="1" applyBorder="1" applyFont="1" applyNumberFormat="1">
      <alignment horizontal="center" readingOrder="0" vertical="bottom"/>
    </xf>
    <xf borderId="6" fillId="0" fontId="6" numFmtId="164" xfId="0" applyAlignment="1" applyBorder="1" applyFont="1" applyNumberFormat="1">
      <alignment readingOrder="0" vertical="bottom"/>
    </xf>
    <xf borderId="6" fillId="0" fontId="6" numFmtId="165" xfId="0" applyAlignment="1" applyBorder="1" applyFont="1" applyNumberFormat="1">
      <alignment horizontal="right" readingOrder="0" vertical="bottom"/>
    </xf>
    <xf borderId="6" fillId="0" fontId="6" numFmtId="166" xfId="0" applyAlignment="1" applyBorder="1" applyFont="1" applyNumberFormat="1">
      <alignment readingOrder="0" vertical="bottom"/>
    </xf>
    <xf borderId="6" fillId="2" fontId="1" numFmtId="165" xfId="0" applyAlignment="1" applyBorder="1" applyFont="1" applyNumberFormat="1">
      <alignment horizontal="right" readingOrder="0" vertical="bottom"/>
    </xf>
    <xf borderId="6" fillId="0" fontId="1" numFmtId="166" xfId="0" applyAlignment="1" applyBorder="1" applyFont="1" applyNumberFormat="1">
      <alignment readingOrder="0" vertical="bottom"/>
    </xf>
    <xf borderId="8" fillId="5" fontId="1" numFmtId="164" xfId="0" applyAlignment="1" applyBorder="1" applyFont="1" applyNumberFormat="1">
      <alignment horizontal="right" vertical="bottom"/>
    </xf>
    <xf borderId="7" fillId="0" fontId="1" numFmtId="164" xfId="0" applyAlignment="1" applyBorder="1" applyFont="1" applyNumberFormat="1">
      <alignment vertical="bottom"/>
    </xf>
    <xf borderId="7" fillId="5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readingOrder="0"/>
    </xf>
    <xf borderId="6" fillId="2" fontId="1" numFmtId="165" xfId="0" applyAlignment="1" applyBorder="1" applyFont="1" applyNumberFormat="1">
      <alignment readingOrder="0" vertical="bottom"/>
    </xf>
    <xf borderId="6" fillId="0" fontId="1" numFmtId="165" xfId="0" applyAlignment="1" applyBorder="1" applyFont="1" applyNumberFormat="1">
      <alignment vertical="bottom"/>
    </xf>
    <xf borderId="6" fillId="5" fontId="1" numFmtId="165" xfId="0" applyAlignment="1" applyBorder="1" applyFont="1" applyNumberFormat="1">
      <alignment horizontal="right" vertical="bottom"/>
    </xf>
    <xf borderId="6" fillId="4" fontId="8" numFmtId="165" xfId="0" applyAlignment="1" applyBorder="1" applyFont="1" applyNumberFormat="1">
      <alignment vertical="bottom"/>
    </xf>
    <xf borderId="6" fillId="2" fontId="5" numFmtId="164" xfId="0" applyAlignment="1" applyBorder="1" applyFont="1" applyNumberFormat="1">
      <alignment horizontal="right" vertical="bottom"/>
    </xf>
    <xf borderId="6" fillId="0" fontId="5" numFmtId="165" xfId="0" applyAlignment="1" applyBorder="1" applyFont="1" applyNumberFormat="1">
      <alignment vertical="bottom"/>
    </xf>
    <xf borderId="6" fillId="0" fontId="5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64" xfId="0" applyAlignment="1" applyBorder="1" applyFont="1" applyNumberFormat="1">
      <alignment vertical="bottom"/>
    </xf>
    <xf borderId="6" fillId="0" fontId="9" numFmtId="0" xfId="0" applyAlignment="1" applyBorder="1" applyFont="1">
      <alignment vertical="bottom"/>
    </xf>
    <xf borderId="6" fillId="0" fontId="9" numFmtId="164" xfId="0" applyAlignment="1" applyBorder="1" applyFont="1" applyNumberFormat="1">
      <alignment horizontal="right" vertical="bottom"/>
    </xf>
    <xf borderId="0" fillId="0" fontId="1" numFmtId="168" xfId="0" applyAlignment="1" applyFont="1" applyNumberFormat="1">
      <alignment vertical="bottom"/>
    </xf>
    <xf borderId="6" fillId="0" fontId="1" numFmtId="0" xfId="0" applyAlignment="1" applyBorder="1" applyFont="1">
      <alignment horizontal="right" readingOrder="0" vertical="bottom"/>
    </xf>
    <xf borderId="6" fillId="3" fontId="1" numFmtId="164" xfId="0" applyAlignment="1" applyBorder="1" applyFont="1" applyNumberFormat="1">
      <alignment readingOrder="0" vertical="bottom"/>
    </xf>
    <xf borderId="7" fillId="2" fontId="1" numFmtId="0" xfId="0" applyAlignment="1" applyBorder="1" applyFont="1">
      <alignment horizontal="right" readingOrder="0" vertical="bottom"/>
    </xf>
    <xf borderId="6" fillId="0" fontId="5" numFmtId="164" xfId="0" applyAlignment="1" applyBorder="1" applyFont="1" applyNumberFormat="1">
      <alignment horizontal="right" readingOrder="0" vertical="bottom"/>
    </xf>
    <xf borderId="1" fillId="2" fontId="5" numFmtId="167" xfId="0" applyAlignment="1" applyBorder="1" applyFont="1" applyNumberFormat="1">
      <alignment horizontal="right" readingOrder="0" vertical="bottom"/>
    </xf>
    <xf borderId="6" fillId="0" fontId="1" numFmtId="168" xfId="0" applyAlignment="1" applyBorder="1" applyFont="1" applyNumberFormat="1">
      <alignment readingOrder="0" vertical="bottom"/>
    </xf>
    <xf borderId="6" fillId="2" fontId="5" numFmtId="165" xfId="0" applyAlignment="1" applyBorder="1" applyFont="1" applyNumberFormat="1">
      <alignment horizontal="right" vertical="bottom"/>
    </xf>
    <xf borderId="6" fillId="0" fontId="5" numFmtId="168" xfId="0" applyAlignment="1" applyBorder="1" applyFont="1" applyNumberFormat="1">
      <alignment horizontal="right" vertical="bottom"/>
    </xf>
    <xf borderId="6" fillId="0" fontId="5" numFmtId="164" xfId="0" applyAlignment="1" applyBorder="1" applyFont="1" applyNumberFormat="1">
      <alignment readingOrder="0" vertical="bottom"/>
    </xf>
    <xf borderId="6" fillId="2" fontId="5" numFmtId="164" xfId="0" applyAlignment="1" applyBorder="1" applyFont="1" applyNumberFormat="1">
      <alignment horizontal="right" readingOrder="0" vertical="bottom"/>
    </xf>
    <xf borderId="6" fillId="0" fontId="3" numFmtId="168" xfId="0" applyAlignment="1" applyBorder="1" applyFont="1" applyNumberFormat="1">
      <alignment horizontal="right" vertical="bottom"/>
    </xf>
    <xf borderId="6" fillId="0" fontId="3" numFmtId="164" xfId="0" applyAlignment="1" applyBorder="1" applyFont="1" applyNumberFormat="1">
      <alignment vertical="bottom"/>
    </xf>
    <xf borderId="6" fillId="2" fontId="3" numFmtId="164" xfId="0" applyAlignment="1" applyBorder="1" applyFont="1" applyNumberFormat="1">
      <alignment vertical="bottom"/>
    </xf>
    <xf borderId="6" fillId="2" fontId="3" numFmtId="165" xfId="0" applyAlignment="1" applyBorder="1" applyFont="1" applyNumberFormat="1">
      <alignment vertical="bottom"/>
    </xf>
    <xf borderId="6" fillId="0" fontId="3" numFmtId="166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6" fillId="0" fontId="9" numFmtId="0" xfId="0" applyAlignment="1" applyBorder="1" applyFont="1">
      <alignment vertical="bottom"/>
    </xf>
    <xf borderId="6" fillId="0" fontId="9" numFmtId="164" xfId="0" applyAlignment="1" applyBorder="1" applyFont="1" applyNumberFormat="1">
      <alignment vertical="bottom"/>
    </xf>
    <xf borderId="6" fillId="0" fontId="9" numFmtId="0" xfId="0" applyAlignment="1" applyBorder="1" applyFont="1">
      <alignment readingOrder="0"/>
    </xf>
    <xf borderId="6" fillId="2" fontId="5" numFmtId="164" xfId="0" applyAlignment="1" applyBorder="1" applyFont="1" applyNumberFormat="1">
      <alignment vertical="bottom"/>
    </xf>
    <xf borderId="6" fillId="2" fontId="5" numFmtId="3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readingOrder="0"/>
    </xf>
    <xf borderId="6" fillId="2" fontId="5" numFmtId="3" xfId="0" applyAlignment="1" applyBorder="1" applyFont="1" applyNumberFormat="1">
      <alignment horizontal="right" readingOrder="0" vertical="bottom"/>
    </xf>
    <xf borderId="6" fillId="0" fontId="5" numFmtId="169" xfId="0" applyAlignment="1" applyBorder="1" applyFont="1" applyNumberFormat="1">
      <alignment horizontal="right" readingOrder="0" vertical="bottom"/>
    </xf>
    <xf borderId="6" fillId="2" fontId="5" numFmtId="165" xfId="0" applyAlignment="1" applyBorder="1" applyFont="1" applyNumberFormat="1">
      <alignment horizontal="right" readingOrder="0" vertical="bottom"/>
    </xf>
    <xf borderId="6" fillId="0" fontId="5" numFmtId="168" xfId="0" applyAlignment="1" applyBorder="1" applyFont="1" applyNumberFormat="1">
      <alignment horizontal="right" readingOrder="0" vertical="bottom"/>
    </xf>
    <xf borderId="6" fillId="0" fontId="10" numFmtId="0" xfId="0" applyBorder="1" applyFont="1"/>
    <xf borderId="6" fillId="2" fontId="10" numFmtId="0" xfId="0" applyBorder="1" applyFont="1"/>
    <xf borderId="6" fillId="4" fontId="11" numFmtId="165" xfId="0" applyAlignment="1" applyBorder="1" applyFont="1" applyNumberFormat="1">
      <alignment vertical="bottom"/>
    </xf>
    <xf borderId="6" fillId="2" fontId="9" numFmtId="164" xfId="0" applyAlignment="1" applyBorder="1" applyFont="1" applyNumberFormat="1">
      <alignment horizontal="right" vertical="bottom"/>
    </xf>
    <xf borderId="6" fillId="0" fontId="9" numFmtId="165" xfId="0" applyAlignment="1" applyBorder="1" applyFont="1" applyNumberFormat="1">
      <alignment vertical="bottom"/>
    </xf>
    <xf borderId="0" fillId="0" fontId="12" numFmtId="164" xfId="0" applyAlignment="1" applyFont="1" applyNumberFormat="1">
      <alignment readingOrder="0" vertical="bottom"/>
    </xf>
    <xf borderId="6" fillId="2" fontId="1" numFmtId="3" xfId="0" applyAlignment="1" applyBorder="1" applyFont="1" applyNumberFormat="1">
      <alignment horizontal="right" readingOrder="0" vertical="bottom"/>
    </xf>
    <xf borderId="6" fillId="0" fontId="1" numFmtId="168" xfId="0" applyAlignment="1" applyBorder="1" applyFont="1" applyNumberFormat="1">
      <alignment horizontal="right" vertical="bottom"/>
    </xf>
    <xf borderId="6" fillId="2" fontId="1" numFmtId="3" xfId="0" applyAlignment="1" applyBorder="1" applyFont="1" applyNumberFormat="1">
      <alignment horizontal="right" vertical="bottom"/>
    </xf>
    <xf borderId="6" fillId="0" fontId="1" numFmtId="168" xfId="0" applyAlignment="1" applyBorder="1" applyFont="1" applyNumberFormat="1">
      <alignment horizontal="right" readingOrder="0" vertical="bottom"/>
    </xf>
    <xf borderId="6" fillId="2" fontId="9" numFmtId="3" xfId="0" applyAlignment="1" applyBorder="1" applyFont="1" applyNumberFormat="1">
      <alignment horizontal="right" vertical="bottom"/>
    </xf>
    <xf borderId="0" fillId="0" fontId="10" numFmtId="164" xfId="0" applyAlignment="1" applyFont="1" applyNumberFormat="1">
      <alignment readingOrder="0"/>
    </xf>
    <xf borderId="6" fillId="0" fontId="9" numFmtId="164" xfId="0" applyAlignment="1" applyBorder="1" applyFont="1" applyNumberFormat="1">
      <alignment horizontal="right" readingOrder="0" vertical="bottom"/>
    </xf>
    <xf borderId="0" fillId="0" fontId="1" numFmtId="170" xfId="0" applyAlignment="1" applyFont="1" applyNumberFormat="1">
      <alignment vertical="bottom"/>
    </xf>
    <xf borderId="6" fillId="2" fontId="1" numFmtId="170" xfId="0" applyAlignment="1" applyBorder="1" applyFont="1" applyNumberFormat="1">
      <alignment horizontal="right" readingOrder="0" vertical="bottom"/>
    </xf>
    <xf borderId="3" fillId="2" fontId="5" numFmtId="164" xfId="0" applyAlignment="1" applyBorder="1" applyFont="1" applyNumberFormat="1">
      <alignment vertical="bottom"/>
    </xf>
    <xf borderId="7" fillId="2" fontId="5" numFmtId="166" xfId="0" applyAlignment="1" applyBorder="1" applyFont="1" applyNumberFormat="1">
      <alignment horizontal="right" vertical="bottom"/>
    </xf>
    <xf borderId="9" fillId="2" fontId="5" numFmtId="164" xfId="0" applyAlignment="1" applyBorder="1" applyFont="1" applyNumberFormat="1">
      <alignment vertical="bottom"/>
    </xf>
    <xf borderId="10" fillId="2" fontId="5" numFmtId="164" xfId="0" applyAlignment="1" applyBorder="1" applyFont="1" applyNumberFormat="1">
      <alignment vertical="bottom"/>
    </xf>
    <xf borderId="7" fillId="2" fontId="5" numFmtId="166" xfId="0" applyAlignment="1" applyBorder="1" applyFont="1" applyNumberFormat="1">
      <alignment horizontal="right" readingOrder="0" vertical="bottom"/>
    </xf>
    <xf borderId="6" fillId="2" fontId="1" numFmtId="170" xfId="0" applyAlignment="1" applyBorder="1" applyFont="1" applyNumberFormat="1">
      <alignment readingOrder="0" vertical="bottom"/>
    </xf>
    <xf borderId="7" fillId="2" fontId="1" numFmtId="168" xfId="0" applyAlignment="1" applyBorder="1" applyFont="1" applyNumberFormat="1">
      <alignment horizontal="right" readingOrder="0" vertical="bottom"/>
    </xf>
    <xf borderId="7" fillId="2" fontId="1" numFmtId="168" xfId="0" applyAlignment="1" applyBorder="1" applyFont="1" applyNumberFormat="1">
      <alignment readingOrder="0" vertical="bottom"/>
    </xf>
    <xf borderId="7" fillId="5" fontId="1" numFmtId="168" xfId="0" applyAlignment="1" applyBorder="1" applyFont="1" applyNumberFormat="1">
      <alignment horizontal="right" vertical="bottom"/>
    </xf>
    <xf borderId="0" fillId="0" fontId="1" numFmtId="170" xfId="0" applyAlignment="1" applyFont="1" applyNumberFormat="1">
      <alignment readingOrder="0" vertical="bottom"/>
    </xf>
    <xf borderId="2" fillId="4" fontId="1" numFmtId="164" xfId="0" applyAlignment="1" applyBorder="1" applyFont="1" applyNumberFormat="1">
      <alignment readingOrder="0" vertical="bottom"/>
    </xf>
    <xf borderId="6" fillId="2" fontId="1" numFmtId="171" xfId="0" applyAlignment="1" applyBorder="1" applyFont="1" applyNumberFormat="1">
      <alignment readingOrder="0" vertical="bottom"/>
    </xf>
    <xf borderId="6" fillId="2" fontId="1" numFmtId="171" xfId="0" applyAlignment="1" applyBorder="1" applyFont="1" applyNumberFormat="1">
      <alignment horizontal="right" readingOrder="0" vertical="bottom"/>
    </xf>
    <xf borderId="6" fillId="5" fontId="1" numFmtId="164" xfId="0" applyAlignment="1" applyBorder="1" applyFont="1" applyNumberFormat="1">
      <alignment readingOrder="0" vertical="bottom"/>
    </xf>
    <xf borderId="6" fillId="5" fontId="1" numFmtId="164" xfId="0" applyAlignment="1" applyBorder="1" applyFont="1" applyNumberFormat="1">
      <alignment vertical="bottom"/>
    </xf>
    <xf borderId="0" fillId="2" fontId="13" numFmtId="164" xfId="0" applyAlignment="1" applyFont="1" applyNumberFormat="1">
      <alignment vertical="bottom"/>
    </xf>
    <xf borderId="0" fillId="0" fontId="3" numFmtId="168" xfId="0" applyAlignment="1" applyFont="1" applyNumberFormat="1">
      <alignment vertical="bottom"/>
    </xf>
    <xf borderId="0" fillId="0" fontId="14" numFmtId="164" xfId="0" applyAlignment="1" applyFont="1" applyNumberFormat="1">
      <alignment vertical="bottom"/>
    </xf>
    <xf borderId="0" fillId="3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2" fillId="0" fontId="3" numFmtId="164" xfId="0" applyAlignment="1" applyBorder="1" applyFont="1" applyNumberFormat="1">
      <alignment vertical="bottom"/>
    </xf>
    <xf borderId="2" fillId="4" fontId="3" numFmtId="164" xfId="0" applyAlignment="1" applyBorder="1" applyFont="1" applyNumberFormat="1">
      <alignment vertical="bottom"/>
    </xf>
    <xf borderId="3" fillId="0" fontId="15" numFmtId="164" xfId="0" applyAlignment="1" applyBorder="1" applyFont="1" applyNumberFormat="1">
      <alignment horizontal="center" vertical="bottom"/>
    </xf>
    <xf borderId="7" fillId="2" fontId="5" numFmtId="164" xfId="0" applyAlignment="1" applyBorder="1" applyFont="1" applyNumberFormat="1">
      <alignment horizontal="right" vertical="bottom"/>
    </xf>
    <xf borderId="8" fillId="0" fontId="5" numFmtId="164" xfId="0" applyAlignment="1" applyBorder="1" applyFont="1" applyNumberFormat="1">
      <alignment vertical="bottom"/>
    </xf>
    <xf borderId="4" fillId="0" fontId="15" numFmtId="164" xfId="0" applyAlignment="1" applyBorder="1" applyFont="1" applyNumberFormat="1">
      <alignment horizontal="center" vertical="bottom"/>
    </xf>
    <xf borderId="6" fillId="0" fontId="15" numFmtId="164" xfId="0" applyAlignment="1" applyBorder="1" applyFont="1" applyNumberFormat="1">
      <alignment vertical="bottom"/>
    </xf>
    <xf borderId="6" fillId="0" fontId="15" numFmtId="165" xfId="0" applyAlignment="1" applyBorder="1" applyFont="1" applyNumberFormat="1">
      <alignment vertical="bottom"/>
    </xf>
    <xf borderId="6" fillId="0" fontId="15" numFmtId="165" xfId="0" applyAlignment="1" applyBorder="1" applyFont="1" applyNumberFormat="1">
      <alignment horizontal="right" vertical="bottom"/>
    </xf>
    <xf borderId="6" fillId="0" fontId="15" numFmtId="166" xfId="0" applyAlignment="1" applyBorder="1" applyFont="1" applyNumberFormat="1">
      <alignment vertical="bottom"/>
    </xf>
    <xf borderId="7" fillId="2" fontId="5" numFmtId="164" xfId="0" applyAlignment="1" applyBorder="1" applyFont="1" applyNumberFormat="1">
      <alignment vertical="bottom"/>
    </xf>
    <xf borderId="6" fillId="0" fontId="3" numFmtId="168" xfId="0" applyAlignment="1" applyBorder="1" applyFont="1" applyNumberFormat="1">
      <alignment vertical="bottom"/>
    </xf>
    <xf borderId="7" fillId="5" fontId="5" numFmtId="164" xfId="0" applyAlignment="1" applyBorder="1" applyFont="1" applyNumberFormat="1">
      <alignment horizontal="right" vertical="bottom"/>
    </xf>
    <xf borderId="7" fillId="2" fontId="5" numFmtId="164" xfId="0" applyAlignment="1" applyBorder="1" applyFont="1" applyNumberFormat="1">
      <alignment horizontal="right" readingOrder="0" vertical="bottom"/>
    </xf>
    <xf borderId="8" fillId="0" fontId="3" numFmtId="164" xfId="0" applyAlignment="1" applyBorder="1" applyFont="1" applyNumberFormat="1">
      <alignment vertical="bottom"/>
    </xf>
    <xf borderId="7" fillId="2" fontId="3" numFmtId="164" xfId="0" applyAlignment="1" applyBorder="1" applyFont="1" applyNumberFormat="1">
      <alignment vertical="bottom"/>
    </xf>
    <xf borderId="7" fillId="3" fontId="5" numFmtId="164" xfId="0" applyAlignment="1" applyBorder="1" applyFont="1" applyNumberFormat="1">
      <alignment horizontal="right" vertical="bottom"/>
    </xf>
    <xf borderId="9" fillId="2" fontId="3" numFmtId="164" xfId="0" applyAlignment="1" applyBorder="1" applyFont="1" applyNumberFormat="1">
      <alignment vertical="bottom"/>
    </xf>
    <xf borderId="9" fillId="0" fontId="5" numFmtId="164" xfId="0" applyAlignment="1" applyBorder="1" applyFont="1" applyNumberFormat="1">
      <alignment vertical="bottom"/>
    </xf>
    <xf borderId="9" fillId="0" fontId="3" numFmtId="164" xfId="0" applyAlignment="1" applyBorder="1" applyFont="1" applyNumberFormat="1">
      <alignment vertical="bottom"/>
    </xf>
    <xf borderId="7" fillId="5" fontId="5" numFmtId="166" xfId="0" applyAlignment="1" applyBorder="1" applyFont="1" applyNumberFormat="1">
      <alignment horizontal="right" vertical="bottom"/>
    </xf>
    <xf borderId="6" fillId="3" fontId="5" numFmtId="164" xfId="0" applyAlignment="1" applyBorder="1" applyFont="1" applyNumberFormat="1">
      <alignment horizontal="right" vertical="bottom"/>
    </xf>
    <xf borderId="6" fillId="3" fontId="3" numFmtId="164" xfId="0" applyAlignment="1" applyBorder="1" applyFont="1" applyNumberFormat="1">
      <alignment vertical="bottom"/>
    </xf>
    <xf borderId="7" fillId="2" fontId="5" numFmtId="168" xfId="0" applyAlignment="1" applyBorder="1" applyFont="1" applyNumberFormat="1">
      <alignment horizontal="right" vertical="bottom"/>
    </xf>
    <xf borderId="3" fillId="0" fontId="3" numFmtId="165" xfId="0" applyAlignment="1" applyBorder="1" applyFont="1" applyNumberFormat="1">
      <alignment vertical="bottom"/>
    </xf>
    <xf borderId="7" fillId="2" fontId="3" numFmtId="168" xfId="0" applyAlignment="1" applyBorder="1" applyFont="1" applyNumberFormat="1">
      <alignment vertical="bottom"/>
    </xf>
    <xf borderId="6" fillId="0" fontId="3" numFmtId="165" xfId="0" applyAlignment="1" applyBorder="1" applyFont="1" applyNumberFormat="1">
      <alignment vertical="bottom"/>
    </xf>
    <xf borderId="7" fillId="5" fontId="5" numFmtId="168" xfId="0" applyAlignment="1" applyBorder="1" applyFont="1" applyNumberFormat="1">
      <alignment horizontal="right" vertical="bottom"/>
    </xf>
    <xf borderId="8" fillId="5" fontId="5" numFmtId="164" xfId="0" applyAlignment="1" applyBorder="1" applyFont="1" applyNumberFormat="1">
      <alignment horizontal="right" vertical="bottom"/>
    </xf>
    <xf borderId="7" fillId="0" fontId="5" numFmtId="164" xfId="0" applyAlignment="1" applyBorder="1" applyFont="1" applyNumberFormat="1">
      <alignment vertical="bottom"/>
    </xf>
    <xf borderId="7" fillId="5" fontId="5" numFmtId="164" xfId="0" applyAlignment="1" applyBorder="1" applyFont="1" applyNumberFormat="1">
      <alignment vertical="bottom"/>
    </xf>
    <xf borderId="6" fillId="5" fontId="3" numFmtId="165" xfId="0" applyAlignment="1" applyBorder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6" numFmtId="165" xfId="0" applyAlignment="1" applyFont="1" applyNumberFormat="1">
      <alignment horizontal="center" readingOrder="0" vertical="bottom"/>
    </xf>
    <xf borderId="0" fillId="0" fontId="6" numFmtId="164" xfId="0" applyAlignment="1" applyFont="1" applyNumberFormat="1">
      <alignment readingOrder="0" vertical="bottom"/>
    </xf>
    <xf borderId="6" fillId="0" fontId="6" numFmtId="16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38u.si/" TargetMode="External"/><Relationship Id="rId2" Type="http://schemas.openxmlformats.org/officeDocument/2006/relationships/hyperlink" Target="https://investor.cict.com.sg/misc/ar2024.pd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17u.si/" TargetMode="External"/><Relationship Id="rId2" Type="http://schemas.openxmlformats.org/officeDocument/2006/relationships/hyperlink" Target="https://investor.capitaland-ascendasreit.com/misc/CapitaLand-Ascendas-REIT-AR2024.pdf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n21u.si/" TargetMode="External"/><Relationship Id="rId2" Type="http://schemas.openxmlformats.org/officeDocument/2006/relationships/hyperlink" Target="https://investor.mapletreepact.com/newsroom/20250627_071024_N2IU_A865ED2W965R9N0P.1.pdf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44u.si/" TargetMode="External"/><Relationship Id="rId2" Type="http://schemas.openxmlformats.org/officeDocument/2006/relationships/hyperlink" Target="https://investor.mapletreelogisticstrust.com/newsroom/20250620_071305_M44U_W4WC665GQ77T049L.1.pdf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m44u.si/" TargetMode="External"/><Relationship Id="rId2" Type="http://schemas.openxmlformats.org/officeDocument/2006/relationships/hyperlink" Target="https://fct.frasersproperty.com/misc/FCT-AR-2025.pdf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j69u.si/" TargetMode="External"/><Relationship Id="rId2" Type="http://schemas.openxmlformats.org/officeDocument/2006/relationships/hyperlink" Target="https://fct.frasersproperty.com/misc/Frasers-Centrepoint-Trust-AR2024.pdf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t82u.si/" TargetMode="External"/><Relationship Id="rId2" Type="http://schemas.openxmlformats.org/officeDocument/2006/relationships/hyperlink" Target="https://suntecreit.listedcompany.com/newsroom/20250325_073831_T82U_2BYFMY5WOSSNEU8J.1.pdf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k71u.si/" TargetMode="External"/><Relationship Id="rId2" Type="http://schemas.openxmlformats.org/officeDocument/2006/relationships/hyperlink" Target="https://wpcms.keppel.com/wm/cms-site/kpl/file/media/2025/Mar/25-mar-kreit/kreit-annual-report-2024.pdf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buou.si/" TargetMode="External"/><Relationship Id="rId2" Type="http://schemas.openxmlformats.org/officeDocument/2006/relationships/hyperlink" Target="https://flct.frasersproperty.com/misc/FLCT-AR2024.pdf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c2pu.si/" TargetMode="External"/><Relationship Id="rId2" Type="http://schemas.openxmlformats.org/officeDocument/2006/relationships/hyperlink" Target="https://plifereit.listedcompany.com/newsroom/20260331_073816_C2PU_6QQ0IEGMJ5B1TON1.1.pdf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ajbu.si/" TargetMode="External"/><Relationship Id="rId2" Type="http://schemas.openxmlformats.org/officeDocument/2006/relationships/hyperlink" Target="https://www.keppel.com/file/investor-relations/annual-reports/keppel-ltd-annual-report-2024.pdf" TargetMode="External"/><Relationship Id="rId3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38"/>
    <col customWidth="1" min="17" max="17" width="13.75"/>
    <col customWidth="1" min="18" max="18" width="26.5"/>
    <col customWidth="1" min="19" max="19" width="31.63"/>
    <col customWidth="1" min="20" max="20" width="10.63"/>
    <col customWidth="1" min="21" max="21" width="25.75"/>
    <col customWidth="1" min="22" max="22" width="15.88"/>
    <col customWidth="1" min="23" max="23" width="16.75"/>
    <col customWidth="1" min="24" max="27" width="26.5"/>
  </cols>
  <sheetData>
    <row r="1">
      <c r="A1" s="1" t="s">
        <v>0</v>
      </c>
      <c r="B1" s="2" t="s">
        <v>1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4"/>
      <c r="X1" s="1"/>
      <c r="Y1" s="1"/>
      <c r="Z1" s="1"/>
      <c r="AA1" s="1"/>
    </row>
    <row r="2">
      <c r="A2" s="1" t="s">
        <v>2</v>
      </c>
      <c r="B2" s="5" t="s">
        <v>3</v>
      </c>
      <c r="C2" s="1"/>
      <c r="D2" s="6" t="s">
        <v>4</v>
      </c>
      <c r="E2" s="7">
        <v>45657.0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4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1"/>
      <c r="W3" s="4"/>
      <c r="X3" s="1"/>
      <c r="Y3" s="9"/>
      <c r="Z3" s="9"/>
      <c r="AA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1.586329E9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2.43063E8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/>
      <c r="AA5" s="9"/>
    </row>
    <row r="6">
      <c r="A6" s="17" t="s">
        <v>26</v>
      </c>
      <c r="B6" s="18">
        <v>-4.32851E8</v>
      </c>
      <c r="C6" s="19" t="s">
        <v>27</v>
      </c>
      <c r="D6" s="28" t="s">
        <v>28</v>
      </c>
      <c r="E6" s="29">
        <v>1.480706E9</v>
      </c>
      <c r="F6" s="30" t="s">
        <v>29</v>
      </c>
      <c r="G6" s="31" t="s">
        <v>30</v>
      </c>
      <c r="H6" s="18">
        <f>-48162000-47471000</f>
        <v>-95633000</v>
      </c>
      <c r="I6" s="8"/>
      <c r="J6" s="32" t="s">
        <v>31</v>
      </c>
      <c r="K6" s="33" t="s">
        <v>32</v>
      </c>
      <c r="L6" s="34">
        <v>4.9</v>
      </c>
      <c r="M6" s="1"/>
      <c r="N6" s="22" t="s">
        <v>33</v>
      </c>
      <c r="O6" s="23">
        <v>2.5269939E10</v>
      </c>
      <c r="P6" s="1"/>
      <c r="Q6" s="17" t="s">
        <v>34</v>
      </c>
      <c r="R6" s="17" t="s">
        <v>35</v>
      </c>
      <c r="S6" s="35" t="s">
        <v>36</v>
      </c>
      <c r="T6" s="36"/>
      <c r="U6" s="37">
        <v>3.332E9</v>
      </c>
      <c r="V6" s="38">
        <v>2.483E8</v>
      </c>
      <c r="W6" s="39">
        <v>99.5</v>
      </c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1153478000</v>
      </c>
      <c r="C7" s="19" t="s">
        <v>27</v>
      </c>
      <c r="D7" s="32" t="s">
        <v>39</v>
      </c>
      <c r="E7" s="18">
        <v>3.9976E7</v>
      </c>
      <c r="F7" s="30" t="s">
        <v>29</v>
      </c>
      <c r="G7" s="31" t="s">
        <v>40</v>
      </c>
      <c r="H7" s="18">
        <v>-3175000.0</v>
      </c>
      <c r="I7" s="1"/>
      <c r="J7" s="32" t="s">
        <v>41</v>
      </c>
      <c r="K7" s="32" t="s">
        <v>42</v>
      </c>
      <c r="L7" s="41">
        <v>1.7</v>
      </c>
      <c r="M7" s="1"/>
      <c r="N7" s="42" t="s">
        <v>43</v>
      </c>
      <c r="O7" s="43">
        <f>sum(O5:O6)</f>
        <v>25513002000</v>
      </c>
      <c r="P7" s="1"/>
      <c r="Q7" s="17" t="s">
        <v>34</v>
      </c>
      <c r="R7" s="17" t="s">
        <v>44</v>
      </c>
      <c r="S7" s="35" t="s">
        <v>45</v>
      </c>
      <c r="T7" s="36"/>
      <c r="U7" s="37">
        <v>2.245E9</v>
      </c>
      <c r="V7" s="38">
        <v>1.053E8</v>
      </c>
      <c r="W7" s="39">
        <v>93.7</v>
      </c>
      <c r="X7" s="1"/>
      <c r="Y7" s="17" t="s">
        <v>46</v>
      </c>
      <c r="Z7" s="28"/>
      <c r="AA7" s="9"/>
    </row>
    <row r="8">
      <c r="A8" s="17" t="s">
        <v>47</v>
      </c>
      <c r="B8" s="18">
        <v>-1.14559E8</v>
      </c>
      <c r="C8" s="30" t="s">
        <v>48</v>
      </c>
      <c r="D8" s="44" t="s">
        <v>46</v>
      </c>
      <c r="E8" s="18">
        <v>6.5647E7</v>
      </c>
      <c r="F8" s="30" t="s">
        <v>29</v>
      </c>
      <c r="G8" s="31" t="s">
        <v>49</v>
      </c>
      <c r="H8" s="31">
        <v>-3442000.0</v>
      </c>
      <c r="I8" s="1"/>
      <c r="J8" s="45" t="s">
        <v>50</v>
      </c>
      <c r="K8" s="32" t="s">
        <v>42</v>
      </c>
      <c r="L8" s="34">
        <v>1.6</v>
      </c>
      <c r="M8" s="1"/>
      <c r="N8" s="42" t="s">
        <v>51</v>
      </c>
      <c r="O8" s="23">
        <v>1.510859E9</v>
      </c>
      <c r="P8" s="1"/>
      <c r="Q8" s="17" t="s">
        <v>34</v>
      </c>
      <c r="R8" s="17" t="s">
        <v>44</v>
      </c>
      <c r="S8" s="35" t="s">
        <v>52</v>
      </c>
      <c r="T8" s="36"/>
      <c r="U8" s="37">
        <v>1.689E9</v>
      </c>
      <c r="V8" s="38">
        <v>9.5E7</v>
      </c>
      <c r="W8" s="39">
        <v>95.1</v>
      </c>
      <c r="X8" s="1"/>
      <c r="Y8" s="17" t="s">
        <v>53</v>
      </c>
      <c r="Z8" s="46">
        <f>sum(Z5:Z7)</f>
        <v>0</v>
      </c>
      <c r="AA8" s="9"/>
    </row>
    <row r="9">
      <c r="A9" s="17" t="s">
        <v>54</v>
      </c>
      <c r="B9" s="40">
        <f>sum(B7:B8)</f>
        <v>1038919000</v>
      </c>
      <c r="C9" s="19"/>
      <c r="D9" s="44"/>
      <c r="E9" s="47"/>
      <c r="F9" s="19" t="s">
        <v>29</v>
      </c>
      <c r="G9" s="31" t="s">
        <v>55</v>
      </c>
      <c r="H9" s="31">
        <v>-923000.0</v>
      </c>
      <c r="I9" s="1"/>
      <c r="J9" s="45" t="s">
        <v>56</v>
      </c>
      <c r="K9" s="32" t="s">
        <v>57</v>
      </c>
      <c r="L9" s="34">
        <v>1.6</v>
      </c>
      <c r="M9" s="1"/>
      <c r="N9" s="42" t="s">
        <v>58</v>
      </c>
      <c r="O9" s="23">
        <v>8.279972E9</v>
      </c>
      <c r="P9" s="1"/>
      <c r="Q9" s="17" t="s">
        <v>34</v>
      </c>
      <c r="R9" s="17" t="s">
        <v>35</v>
      </c>
      <c r="S9" s="35" t="s">
        <v>59</v>
      </c>
      <c r="T9" s="36"/>
      <c r="U9" s="37">
        <v>1.441E9</v>
      </c>
      <c r="V9" s="38">
        <v>9.37E7</v>
      </c>
      <c r="W9" s="39">
        <v>99.7</v>
      </c>
      <c r="X9" s="1"/>
      <c r="Y9" s="9"/>
      <c r="Z9" s="9"/>
      <c r="AA9" s="9"/>
    </row>
    <row r="10">
      <c r="A10" s="17" t="s">
        <v>60</v>
      </c>
      <c r="B10" s="18">
        <f>-345394000+12702000+63000+9381000+33756000+153127000+32765000</f>
        <v>-103600000</v>
      </c>
      <c r="C10" s="19"/>
      <c r="D10" s="47"/>
      <c r="E10" s="47"/>
      <c r="F10" s="48" t="s">
        <v>61</v>
      </c>
      <c r="G10" s="49" t="s">
        <v>46</v>
      </c>
      <c r="H10" s="31">
        <v>-1.0586E7</v>
      </c>
      <c r="I10" s="1"/>
      <c r="J10" s="33" t="s">
        <v>62</v>
      </c>
      <c r="K10" s="32" t="s">
        <v>63</v>
      </c>
      <c r="L10" s="34">
        <v>1.6</v>
      </c>
      <c r="M10" s="1"/>
      <c r="N10" s="42" t="s">
        <v>64</v>
      </c>
      <c r="O10" s="43">
        <f>sum(O8:O9)</f>
        <v>9790831000</v>
      </c>
      <c r="P10" s="1"/>
      <c r="Q10" s="17" t="s">
        <v>34</v>
      </c>
      <c r="R10" s="17" t="s">
        <v>65</v>
      </c>
      <c r="S10" s="35" t="s">
        <v>66</v>
      </c>
      <c r="T10" s="36"/>
      <c r="U10" s="37">
        <v>7.63E8</v>
      </c>
      <c r="V10" s="38">
        <v>8.94E7</v>
      </c>
      <c r="W10" s="39">
        <v>99.6</v>
      </c>
      <c r="X10" s="1"/>
      <c r="Y10" s="9"/>
      <c r="Z10" s="9"/>
      <c r="AA10" s="9"/>
    </row>
    <row r="11">
      <c r="A11" s="17" t="s">
        <v>67</v>
      </c>
      <c r="B11" s="40">
        <f>sum(B9:B10)</f>
        <v>935319000</v>
      </c>
      <c r="C11" s="19"/>
      <c r="D11" s="47"/>
      <c r="E11" s="47"/>
      <c r="F11" s="19" t="s">
        <v>29</v>
      </c>
      <c r="G11" s="31" t="s">
        <v>68</v>
      </c>
      <c r="H11" s="31">
        <v>-800000.0</v>
      </c>
      <c r="I11" s="1"/>
      <c r="J11" s="32" t="s">
        <v>69</v>
      </c>
      <c r="K11" s="32" t="s">
        <v>57</v>
      </c>
      <c r="L11" s="41">
        <v>1.3</v>
      </c>
      <c r="M11" s="9"/>
      <c r="N11" s="42" t="s">
        <v>70</v>
      </c>
      <c r="O11" s="43">
        <f>O7-O10</f>
        <v>15722171000</v>
      </c>
      <c r="P11" s="9"/>
      <c r="Q11" s="17" t="s">
        <v>34</v>
      </c>
      <c r="R11" s="17" t="s">
        <v>65</v>
      </c>
      <c r="S11" s="35" t="s">
        <v>71</v>
      </c>
      <c r="T11" s="36"/>
      <c r="U11" s="37">
        <v>1.141E9</v>
      </c>
      <c r="V11" s="38">
        <v>8.37E7</v>
      </c>
      <c r="W11" s="39">
        <v>99.9</v>
      </c>
      <c r="X11" s="1"/>
      <c r="Y11" s="9"/>
      <c r="Z11" s="9"/>
      <c r="AA11" s="9"/>
    </row>
    <row r="12">
      <c r="A12" s="17" t="s">
        <v>72</v>
      </c>
      <c r="B12" s="50">
        <v>6458000.0</v>
      </c>
      <c r="C12" s="19"/>
      <c r="D12" s="47"/>
      <c r="E12" s="47"/>
      <c r="F12" s="48"/>
      <c r="G12" s="49"/>
      <c r="H12" s="31"/>
      <c r="I12" s="1"/>
      <c r="J12" s="32" t="s">
        <v>73</v>
      </c>
      <c r="K12" s="32" t="s">
        <v>74</v>
      </c>
      <c r="L12" s="41">
        <v>1.2</v>
      </c>
      <c r="M12" s="9"/>
      <c r="N12" s="9"/>
      <c r="O12" s="9"/>
      <c r="P12" s="9"/>
      <c r="Q12" s="17" t="s">
        <v>34</v>
      </c>
      <c r="R12" s="17" t="s">
        <v>65</v>
      </c>
      <c r="S12" s="35" t="s">
        <v>75</v>
      </c>
      <c r="T12" s="36"/>
      <c r="U12" s="37">
        <v>1.151E9</v>
      </c>
      <c r="V12" s="38">
        <v>8.27E7</v>
      </c>
      <c r="W12" s="39">
        <v>100.0</v>
      </c>
      <c r="X12" s="1"/>
      <c r="Y12" s="9"/>
      <c r="Z12" s="9"/>
      <c r="AA12" s="9"/>
    </row>
    <row r="13">
      <c r="A13" s="17" t="s">
        <v>76</v>
      </c>
      <c r="B13" s="40">
        <f>SUM(B11:B12)</f>
        <v>941777000</v>
      </c>
      <c r="C13" s="19"/>
      <c r="D13" s="47"/>
      <c r="E13" s="47"/>
      <c r="F13" s="19"/>
      <c r="G13" s="47"/>
      <c r="H13" s="47"/>
      <c r="I13" s="1"/>
      <c r="J13" s="32" t="s">
        <v>77</v>
      </c>
      <c r="K13" s="45" t="s">
        <v>78</v>
      </c>
      <c r="L13" s="41">
        <v>1.0</v>
      </c>
      <c r="M13" s="9"/>
      <c r="N13" s="42" t="s">
        <v>79</v>
      </c>
      <c r="O13" s="51">
        <f>O5-O8</f>
        <v>-1267796000</v>
      </c>
      <c r="P13" s="9"/>
      <c r="Q13" s="17" t="s">
        <v>34</v>
      </c>
      <c r="R13" s="17" t="s">
        <v>44</v>
      </c>
      <c r="S13" s="35" t="s">
        <v>80</v>
      </c>
      <c r="T13" s="36"/>
      <c r="U13" s="37">
        <v>1.463E9</v>
      </c>
      <c r="V13" s="38">
        <v>8.19E7</v>
      </c>
      <c r="W13" s="39">
        <v>98.6</v>
      </c>
      <c r="X13" s="1"/>
      <c r="Y13" s="9"/>
      <c r="Z13" s="9"/>
      <c r="AA13" s="9"/>
    </row>
    <row r="14">
      <c r="A14" s="17" t="s">
        <v>81</v>
      </c>
      <c r="B14" s="50">
        <v>-8094000.0</v>
      </c>
      <c r="C14" s="19"/>
      <c r="D14" s="47"/>
      <c r="E14" s="47"/>
      <c r="F14" s="19"/>
      <c r="G14" s="47"/>
      <c r="H14" s="47"/>
      <c r="I14" s="1"/>
      <c r="J14" s="32" t="s">
        <v>82</v>
      </c>
      <c r="K14" s="32" t="s">
        <v>83</v>
      </c>
      <c r="L14" s="41">
        <v>1.0</v>
      </c>
      <c r="M14" s="9"/>
      <c r="P14" s="9"/>
      <c r="Q14" s="17" t="s">
        <v>34</v>
      </c>
      <c r="R14" s="17" t="s">
        <v>65</v>
      </c>
      <c r="S14" s="35" t="s">
        <v>84</v>
      </c>
      <c r="T14" s="36"/>
      <c r="U14" s="37">
        <v>1.127E9</v>
      </c>
      <c r="V14" s="38">
        <v>7.55E7</v>
      </c>
      <c r="W14" s="39">
        <v>99.5</v>
      </c>
      <c r="X14" s="1"/>
      <c r="Y14" s="9"/>
      <c r="Z14" s="9"/>
      <c r="AA14" s="9"/>
    </row>
    <row r="15">
      <c r="A15" s="42" t="s">
        <v>85</v>
      </c>
      <c r="B15" s="50">
        <v>0.0</v>
      </c>
      <c r="C15" s="19"/>
      <c r="D15" s="47"/>
      <c r="E15" s="47"/>
      <c r="F15" s="19"/>
      <c r="G15" s="47"/>
      <c r="H15" s="47"/>
      <c r="I15" s="1"/>
      <c r="J15" s="32" t="s">
        <v>86</v>
      </c>
      <c r="K15" s="32" t="s">
        <v>42</v>
      </c>
      <c r="L15" s="41">
        <v>1.0</v>
      </c>
      <c r="M15" s="1"/>
      <c r="N15" s="8" t="s">
        <v>87</v>
      </c>
      <c r="O15" s="9"/>
      <c r="P15" s="1"/>
      <c r="Q15" s="17" t="s">
        <v>34</v>
      </c>
      <c r="R15" s="17" t="s">
        <v>44</v>
      </c>
      <c r="S15" s="35" t="s">
        <v>88</v>
      </c>
      <c r="T15" s="52">
        <v>0.7</v>
      </c>
      <c r="U15" s="37">
        <v>8.841E8</v>
      </c>
      <c r="V15" s="38">
        <v>7.36E7</v>
      </c>
      <c r="W15" s="39">
        <v>98.7</v>
      </c>
      <c r="X15" s="1"/>
      <c r="Y15" s="9"/>
      <c r="Z15" s="9"/>
      <c r="AA15" s="9"/>
    </row>
    <row r="16">
      <c r="A16" s="42" t="s">
        <v>89</v>
      </c>
      <c r="B16" s="40">
        <f>SUM(B13:B15)</f>
        <v>933683000</v>
      </c>
      <c r="C16" s="19"/>
      <c r="D16" s="47"/>
      <c r="E16" s="47"/>
      <c r="F16" s="19"/>
      <c r="G16" s="47"/>
      <c r="H16" s="47"/>
      <c r="I16" s="1"/>
      <c r="J16" s="53" t="s">
        <v>90</v>
      </c>
      <c r="K16" s="53"/>
      <c r="L16" s="54">
        <f>SUM(L6:L15)</f>
        <v>16.9</v>
      </c>
      <c r="M16" s="1"/>
      <c r="N16" s="42" t="s">
        <v>91</v>
      </c>
      <c r="O16" s="23">
        <v>1.044198E9</v>
      </c>
      <c r="P16" s="1"/>
      <c r="Q16" s="17" t="s">
        <v>34</v>
      </c>
      <c r="R16" s="17" t="s">
        <v>44</v>
      </c>
      <c r="S16" s="35" t="s">
        <v>92</v>
      </c>
      <c r="T16" s="36"/>
      <c r="U16" s="37">
        <v>1.608E9</v>
      </c>
      <c r="V16" s="38">
        <v>7.09E7</v>
      </c>
      <c r="W16" s="39">
        <v>99.7</v>
      </c>
      <c r="X16" s="1"/>
      <c r="Y16" s="9"/>
      <c r="Z16" s="9"/>
      <c r="AA16" s="9"/>
    </row>
    <row r="17">
      <c r="A17" s="17" t="s">
        <v>93</v>
      </c>
      <c r="B17" s="18">
        <f>-345394000</f>
        <v>-345394000</v>
      </c>
      <c r="C17" s="19"/>
      <c r="D17" s="47"/>
      <c r="E17" s="47"/>
      <c r="F17" s="19"/>
      <c r="G17" s="47"/>
      <c r="H17" s="47"/>
      <c r="I17" s="1"/>
      <c r="J17" s="1"/>
      <c r="K17" s="1"/>
      <c r="L17" s="1"/>
      <c r="M17" s="9"/>
      <c r="N17" s="42" t="s">
        <v>94</v>
      </c>
      <c r="O17" s="55">
        <v>-5.20565E8</v>
      </c>
      <c r="P17" s="1"/>
      <c r="Q17" s="17" t="s">
        <v>34</v>
      </c>
      <c r="R17" s="17" t="s">
        <v>35</v>
      </c>
      <c r="S17" s="35" t="s">
        <v>95</v>
      </c>
      <c r="T17" s="36"/>
      <c r="U17" s="37">
        <v>8.49E8</v>
      </c>
      <c r="V17" s="38">
        <v>6.46E7</v>
      </c>
      <c r="W17" s="39">
        <v>99.4</v>
      </c>
      <c r="X17" s="1"/>
      <c r="Y17" s="9"/>
      <c r="Z17" s="9"/>
      <c r="AA17" s="9"/>
    </row>
    <row r="18">
      <c r="A18" s="17" t="s">
        <v>96</v>
      </c>
      <c r="B18" s="56">
        <f>B9</f>
        <v>1038919000</v>
      </c>
      <c r="C18" s="19"/>
      <c r="D18" s="47"/>
      <c r="E18" s="47"/>
      <c r="F18" s="19"/>
      <c r="G18" s="47"/>
      <c r="H18" s="47"/>
      <c r="I18" s="1"/>
      <c r="J18" s="14" t="s">
        <v>97</v>
      </c>
      <c r="K18" s="15"/>
      <c r="L18" s="16"/>
      <c r="M18" s="1"/>
      <c r="N18" s="42" t="s">
        <v>98</v>
      </c>
      <c r="O18" s="55">
        <v>-5.07975E8</v>
      </c>
      <c r="P18" s="1"/>
      <c r="Q18" s="17" t="s">
        <v>34</v>
      </c>
      <c r="R18" s="17" t="s">
        <v>65</v>
      </c>
      <c r="S18" s="35" t="s">
        <v>99</v>
      </c>
      <c r="T18" s="36"/>
      <c r="U18" s="37">
        <v>3.59E8</v>
      </c>
      <c r="V18" s="38">
        <v>6.34E7</v>
      </c>
      <c r="W18" s="39">
        <v>100.0</v>
      </c>
      <c r="X18" s="1"/>
      <c r="Y18" s="11"/>
      <c r="Z18" s="11"/>
      <c r="AA18" s="9"/>
    </row>
    <row r="19">
      <c r="A19" s="17" t="s">
        <v>100</v>
      </c>
      <c r="B19" s="42">
        <v>-719000.0</v>
      </c>
      <c r="C19" s="19"/>
      <c r="D19" s="47"/>
      <c r="E19" s="47"/>
      <c r="F19" s="19"/>
      <c r="G19" s="47"/>
      <c r="H19" s="47"/>
      <c r="I19" s="1"/>
      <c r="J19" s="32" t="s">
        <v>74</v>
      </c>
      <c r="K19" s="32"/>
      <c r="L19" s="34">
        <v>17.9</v>
      </c>
      <c r="M19" s="1"/>
      <c r="N19" s="42" t="s">
        <v>101</v>
      </c>
      <c r="O19" s="43">
        <f>sum(O16:O18)</f>
        <v>15658000</v>
      </c>
      <c r="P19" s="1"/>
      <c r="Q19" s="17" t="s">
        <v>34</v>
      </c>
      <c r="R19" s="17" t="s">
        <v>65</v>
      </c>
      <c r="S19" s="35" t="s">
        <v>102</v>
      </c>
      <c r="T19" s="36"/>
      <c r="U19" s="37">
        <v>3.89E8</v>
      </c>
      <c r="V19" s="38">
        <v>6.34E7</v>
      </c>
      <c r="W19" s="39">
        <v>100.0</v>
      </c>
      <c r="X19" s="1"/>
      <c r="Y19" s="11"/>
      <c r="Z19" s="11"/>
      <c r="AA19" s="9"/>
    </row>
    <row r="20">
      <c r="A20" s="17" t="s">
        <v>103</v>
      </c>
      <c r="B20" s="56">
        <f>B11-B17-B19</f>
        <v>1281432000</v>
      </c>
      <c r="C20" s="19"/>
      <c r="D20" s="47"/>
      <c r="E20" s="47"/>
      <c r="F20" s="19"/>
      <c r="G20" s="47"/>
      <c r="H20" s="47"/>
      <c r="I20" s="1"/>
      <c r="J20" s="32" t="s">
        <v>42</v>
      </c>
      <c r="K20" s="44"/>
      <c r="L20" s="41">
        <v>17.8</v>
      </c>
      <c r="M20" s="1"/>
      <c r="N20" s="57"/>
      <c r="O20" s="9"/>
      <c r="P20" s="1"/>
      <c r="Q20" s="17" t="s">
        <v>34</v>
      </c>
      <c r="R20" s="17" t="s">
        <v>65</v>
      </c>
      <c r="S20" s="35" t="s">
        <v>104</v>
      </c>
      <c r="T20" s="36"/>
      <c r="U20" s="37">
        <v>8.15E8</v>
      </c>
      <c r="V20" s="38">
        <v>6.1E7</v>
      </c>
      <c r="W20" s="39">
        <v>100.0</v>
      </c>
      <c r="X20" s="1"/>
      <c r="Y20" s="11"/>
      <c r="Z20" s="11"/>
      <c r="AA20" s="9"/>
    </row>
    <row r="21">
      <c r="A21" s="42" t="s">
        <v>105</v>
      </c>
      <c r="B21" s="28">
        <v>3.2765E7</v>
      </c>
      <c r="C21" s="19"/>
      <c r="D21" s="47"/>
      <c r="E21" s="47"/>
      <c r="F21" s="19"/>
      <c r="G21" s="47"/>
      <c r="H21" s="47"/>
      <c r="I21" s="1"/>
      <c r="J21" s="45" t="s">
        <v>78</v>
      </c>
      <c r="K21" s="44"/>
      <c r="L21" s="34">
        <v>8.4</v>
      </c>
      <c r="M21" s="1"/>
      <c r="P21" s="1"/>
      <c r="Q21" s="17" t="s">
        <v>34</v>
      </c>
      <c r="R21" s="17" t="s">
        <v>65</v>
      </c>
      <c r="S21" s="35" t="s">
        <v>106</v>
      </c>
      <c r="T21" s="36"/>
      <c r="U21" s="37">
        <v>8.15E8</v>
      </c>
      <c r="V21" s="38">
        <v>5.81E7</v>
      </c>
      <c r="W21" s="39">
        <v>100.0</v>
      </c>
      <c r="X21" s="1"/>
      <c r="Y21" s="9"/>
      <c r="Z21" s="9"/>
      <c r="AA21" s="9"/>
    </row>
    <row r="22">
      <c r="A22" s="42" t="s">
        <v>107</v>
      </c>
      <c r="B22" s="56">
        <f>B13-B19-B21</f>
        <v>909731000</v>
      </c>
      <c r="C22" s="19"/>
      <c r="D22" s="47"/>
      <c r="E22" s="47"/>
      <c r="F22" s="19"/>
      <c r="G22" s="47"/>
      <c r="H22" s="47"/>
      <c r="I22" s="1"/>
      <c r="J22" s="45" t="s">
        <v>108</v>
      </c>
      <c r="K22" s="44"/>
      <c r="L22" s="34">
        <v>7.5</v>
      </c>
      <c r="M22" s="1"/>
      <c r="P22" s="1"/>
      <c r="Q22" s="17" t="s">
        <v>34</v>
      </c>
      <c r="R22" s="17" t="s">
        <v>35</v>
      </c>
      <c r="S22" s="35" t="s">
        <v>109</v>
      </c>
      <c r="T22" s="52">
        <v>0.45</v>
      </c>
      <c r="U22" s="37">
        <v>9.263E8</v>
      </c>
      <c r="V22" s="38">
        <v>5.74E7</v>
      </c>
      <c r="W22" s="39">
        <v>99.9</v>
      </c>
      <c r="X22" s="1"/>
      <c r="Y22" s="9"/>
      <c r="Z22" s="9"/>
      <c r="AA22" s="9"/>
    </row>
    <row r="23">
      <c r="A23" s="9"/>
      <c r="B23" s="9"/>
      <c r="C23" s="19"/>
      <c r="D23" s="47"/>
      <c r="E23" s="47"/>
      <c r="F23" s="19"/>
      <c r="G23" s="47"/>
      <c r="H23" s="47"/>
      <c r="I23" s="1"/>
      <c r="J23" s="33" t="s">
        <v>32</v>
      </c>
      <c r="K23" s="44"/>
      <c r="L23" s="34">
        <v>5.1</v>
      </c>
      <c r="M23" s="1"/>
      <c r="P23" s="1"/>
      <c r="Q23" s="17" t="s">
        <v>34</v>
      </c>
      <c r="R23" s="17" t="s">
        <v>35</v>
      </c>
      <c r="S23" s="35" t="s">
        <v>110</v>
      </c>
      <c r="T23" s="36"/>
      <c r="U23" s="37">
        <v>7.86E8</v>
      </c>
      <c r="V23" s="38">
        <v>5.13E7</v>
      </c>
      <c r="W23" s="39">
        <v>99.5</v>
      </c>
      <c r="X23" s="1"/>
      <c r="Y23" s="9"/>
      <c r="Z23" s="9"/>
      <c r="AA23" s="9"/>
    </row>
    <row r="24">
      <c r="A24" s="9"/>
      <c r="B24" s="9"/>
      <c r="C24" s="19"/>
      <c r="D24" s="47"/>
      <c r="E24" s="47"/>
      <c r="F24" s="19"/>
      <c r="G24" s="47"/>
      <c r="H24" s="47"/>
      <c r="I24" s="1"/>
      <c r="J24" s="32" t="s">
        <v>63</v>
      </c>
      <c r="K24" s="44"/>
      <c r="L24" s="41">
        <v>4.0</v>
      </c>
      <c r="M24" s="1"/>
      <c r="P24" s="1"/>
      <c r="Q24" s="17" t="s">
        <v>34</v>
      </c>
      <c r="R24" s="17" t="s">
        <v>65</v>
      </c>
      <c r="S24" s="35" t="s">
        <v>111</v>
      </c>
      <c r="T24" s="36"/>
      <c r="U24" s="37">
        <v>5.64E8</v>
      </c>
      <c r="V24" s="38">
        <v>4.65E7</v>
      </c>
      <c r="W24" s="39">
        <v>100.0</v>
      </c>
      <c r="X24" s="1"/>
      <c r="Y24" s="9"/>
      <c r="Z24" s="9"/>
      <c r="AA24" s="9"/>
    </row>
    <row r="25">
      <c r="A25" s="9"/>
      <c r="B25" s="9"/>
      <c r="C25" s="19"/>
      <c r="D25" s="47"/>
      <c r="E25" s="47"/>
      <c r="F25" s="19"/>
      <c r="G25" s="47"/>
      <c r="H25" s="47"/>
      <c r="I25" s="1"/>
      <c r="J25" s="32" t="s">
        <v>112</v>
      </c>
      <c r="K25" s="44"/>
      <c r="L25" s="41">
        <v>3.9</v>
      </c>
      <c r="M25" s="1"/>
      <c r="P25" s="1"/>
      <c r="Q25" s="17" t="s">
        <v>34</v>
      </c>
      <c r="R25" s="17" t="s">
        <v>65</v>
      </c>
      <c r="S25" s="35" t="s">
        <v>113</v>
      </c>
      <c r="T25" s="36"/>
      <c r="U25" s="37">
        <v>4.11E8</v>
      </c>
      <c r="V25" s="38">
        <v>3.0E7</v>
      </c>
      <c r="W25" s="39">
        <v>94.5</v>
      </c>
      <c r="X25" s="1"/>
      <c r="Y25" s="9"/>
      <c r="Z25" s="9"/>
      <c r="AA25" s="9"/>
    </row>
    <row r="26">
      <c r="A26" s="1"/>
      <c r="B26" s="1"/>
      <c r="C26" s="19"/>
      <c r="D26" s="47"/>
      <c r="E26" s="47"/>
      <c r="F26" s="19"/>
      <c r="G26" s="47"/>
      <c r="H26" s="47"/>
      <c r="I26" s="1"/>
      <c r="J26" s="32" t="s">
        <v>57</v>
      </c>
      <c r="K26" s="44"/>
      <c r="L26" s="41">
        <v>23.2</v>
      </c>
      <c r="M26" s="1"/>
      <c r="N26" s="9"/>
      <c r="O26" s="9"/>
      <c r="P26" s="1"/>
      <c r="X26" s="1"/>
      <c r="Y26" s="9"/>
      <c r="Z26" s="9"/>
      <c r="AA26" s="9"/>
    </row>
    <row r="27">
      <c r="A27" s="1"/>
      <c r="B27" s="1"/>
      <c r="C27" s="19"/>
      <c r="D27" s="47"/>
      <c r="E27" s="47"/>
      <c r="F27" s="19"/>
      <c r="G27" s="47"/>
      <c r="H27" s="47"/>
      <c r="I27" s="1"/>
      <c r="J27" s="32" t="s">
        <v>83</v>
      </c>
      <c r="K27" s="44"/>
      <c r="L27" s="41">
        <v>12.2</v>
      </c>
      <c r="M27" s="1"/>
      <c r="N27" s="9"/>
      <c r="O27" s="9"/>
      <c r="P27" s="1"/>
      <c r="Q27" s="58" t="s">
        <v>114</v>
      </c>
      <c r="R27" s="15"/>
      <c r="S27" s="15"/>
      <c r="T27" s="15"/>
      <c r="U27" s="15"/>
      <c r="V27" s="15"/>
      <c r="W27" s="16"/>
      <c r="X27" s="1"/>
      <c r="Y27" s="9"/>
      <c r="Z27" s="9"/>
      <c r="AA27" s="9"/>
    </row>
    <row r="28">
      <c r="A28" s="1"/>
      <c r="B28" s="1"/>
      <c r="C28" s="19"/>
      <c r="D28" s="47"/>
      <c r="E28" s="47"/>
      <c r="F28" s="19"/>
      <c r="G28" s="47"/>
      <c r="H28" s="47"/>
      <c r="I28" s="1"/>
      <c r="J28" s="32" t="s">
        <v>83</v>
      </c>
      <c r="K28" s="44"/>
      <c r="L28" s="41"/>
      <c r="M28" s="57"/>
      <c r="N28" s="9"/>
      <c r="O28" s="9"/>
      <c r="P28" s="57"/>
      <c r="Q28" s="59" t="s">
        <v>18</v>
      </c>
      <c r="R28" s="59" t="s">
        <v>19</v>
      </c>
      <c r="S28" s="59"/>
      <c r="T28" s="60" t="s">
        <v>115</v>
      </c>
      <c r="U28" s="60" t="s">
        <v>22</v>
      </c>
      <c r="V28" s="59" t="s">
        <v>23</v>
      </c>
      <c r="W28" s="61" t="s">
        <v>24</v>
      </c>
      <c r="X28" s="1"/>
      <c r="Y28" s="9"/>
      <c r="Z28" s="9"/>
      <c r="AA28" s="9"/>
    </row>
    <row r="29">
      <c r="A29" s="1"/>
      <c r="B29" s="1"/>
      <c r="C29" s="19"/>
      <c r="D29" s="47"/>
      <c r="E29" s="47"/>
      <c r="F29" s="19"/>
      <c r="G29" s="47"/>
      <c r="H29" s="47"/>
      <c r="I29" s="1"/>
      <c r="J29" s="53" t="s">
        <v>90</v>
      </c>
      <c r="K29" s="53"/>
      <c r="L29" s="54">
        <f>SUM(L19:L28)</f>
        <v>100</v>
      </c>
      <c r="M29" s="57"/>
      <c r="N29" s="9"/>
      <c r="O29" s="9"/>
      <c r="P29" s="57"/>
      <c r="Q29" s="42" t="s">
        <v>34</v>
      </c>
      <c r="R29" s="42" t="s">
        <v>65</v>
      </c>
      <c r="S29" s="28"/>
      <c r="T29" s="62">
        <v>10.0</v>
      </c>
      <c r="U29" s="62">
        <v>7.541237E9</v>
      </c>
      <c r="V29" s="28">
        <v>5.903E8</v>
      </c>
      <c r="W29" s="63">
        <v>99.3</v>
      </c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4">
        <f>SUM(E6:E29)</f>
        <v>1586329000</v>
      </c>
      <c r="F30" s="19"/>
      <c r="G30" s="19" t="s">
        <v>90</v>
      </c>
      <c r="H30" s="64">
        <f>SUM(H6:H29)</f>
        <v>-114559000</v>
      </c>
      <c r="I30" s="1"/>
      <c r="J30" s="1"/>
      <c r="K30" s="1"/>
      <c r="L30" s="1"/>
      <c r="M30" s="57"/>
      <c r="N30" s="9"/>
      <c r="O30" s="9"/>
      <c r="P30" s="57"/>
      <c r="Q30" s="42" t="s">
        <v>34</v>
      </c>
      <c r="R30" s="42" t="s">
        <v>44</v>
      </c>
      <c r="S30" s="28"/>
      <c r="T30" s="62">
        <v>5.0</v>
      </c>
      <c r="U30" s="62">
        <v>8.268E9</v>
      </c>
      <c r="V30" s="28">
        <v>5.133E8</v>
      </c>
      <c r="W30" s="63">
        <v>94.8</v>
      </c>
      <c r="X30" s="1"/>
      <c r="Y30" s="9"/>
      <c r="Z30" s="9"/>
      <c r="AA30" s="9"/>
    </row>
    <row r="31">
      <c r="A31" s="1"/>
      <c r="B31" s="1"/>
      <c r="C31" s="19"/>
      <c r="D31" s="65" t="s">
        <v>116</v>
      </c>
      <c r="E31" s="66" t="str">
        <f>IF(B5=E30, "True", "False")</f>
        <v>True</v>
      </c>
      <c r="F31" s="19"/>
      <c r="G31" s="65" t="s">
        <v>116</v>
      </c>
      <c r="H31" s="66" t="str">
        <f>IF(B8=H30, "True", "False")</f>
        <v>True</v>
      </c>
      <c r="I31" s="1"/>
      <c r="J31" s="1"/>
      <c r="K31" s="1"/>
      <c r="L31" s="1"/>
      <c r="M31" s="57"/>
      <c r="N31" s="9"/>
      <c r="O31" s="9"/>
      <c r="P31" s="57"/>
      <c r="Q31" s="42" t="s">
        <v>34</v>
      </c>
      <c r="R31" s="42" t="s">
        <v>35</v>
      </c>
      <c r="S31" s="28"/>
      <c r="T31" s="62">
        <v>4.0</v>
      </c>
      <c r="U31" s="62">
        <v>6.408049E9</v>
      </c>
      <c r="V31" s="28">
        <v>5.4E8</v>
      </c>
      <c r="W31" s="63">
        <v>98.4</v>
      </c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7"/>
      <c r="N32" s="9"/>
      <c r="O32" s="9"/>
      <c r="P32" s="9"/>
      <c r="Q32" s="42" t="s">
        <v>117</v>
      </c>
      <c r="R32" s="42" t="s">
        <v>44</v>
      </c>
      <c r="S32" s="28"/>
      <c r="T32" s="62">
        <v>2.0</v>
      </c>
      <c r="U32" s="62">
        <v>4.87518E8</v>
      </c>
      <c r="V32" s="28"/>
      <c r="W32" s="63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42" t="s">
        <v>117</v>
      </c>
      <c r="R33" s="42" t="s">
        <v>35</v>
      </c>
      <c r="S33" s="28"/>
      <c r="T33" s="62">
        <v>1.0</v>
      </c>
      <c r="U33" s="62">
        <v>2.82684E8</v>
      </c>
      <c r="V33" s="28"/>
      <c r="W33" s="63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42" t="s">
        <v>118</v>
      </c>
      <c r="R34" s="42" t="s">
        <v>44</v>
      </c>
      <c r="S34" s="28"/>
      <c r="T34" s="62">
        <v>2.0</v>
      </c>
      <c r="U34" s="62">
        <v>7.14818E8</v>
      </c>
      <c r="V34" s="28"/>
      <c r="W34" s="63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42"/>
      <c r="R35" s="42"/>
      <c r="S35" s="28"/>
      <c r="T35" s="62"/>
      <c r="U35" s="62"/>
      <c r="V35" s="28"/>
      <c r="W35" s="63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67"/>
      <c r="P36" s="9"/>
      <c r="Q36" s="42"/>
      <c r="R36" s="42"/>
      <c r="S36" s="28"/>
      <c r="T36" s="68"/>
      <c r="U36" s="68"/>
      <c r="V36" s="28"/>
      <c r="W36" s="63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 t="s">
        <v>119</v>
      </c>
      <c r="O37" s="42"/>
      <c r="P37" s="1"/>
      <c r="Q37" s="42"/>
      <c r="R37" s="42"/>
      <c r="S37" s="28"/>
      <c r="T37" s="68"/>
      <c r="U37" s="68"/>
      <c r="V37" s="28"/>
      <c r="W37" s="63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 t="s">
        <v>120</v>
      </c>
      <c r="O38" s="42"/>
      <c r="P38" s="1"/>
      <c r="Q38" s="42"/>
      <c r="R38" s="42"/>
      <c r="S38" s="28"/>
      <c r="T38" s="68"/>
      <c r="U38" s="68"/>
      <c r="V38" s="28"/>
      <c r="W38" s="63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 t="s">
        <v>121</v>
      </c>
      <c r="O39" s="17"/>
      <c r="P39" s="1"/>
      <c r="Q39" s="42"/>
      <c r="R39" s="42"/>
      <c r="S39" s="28"/>
      <c r="T39" s="62"/>
      <c r="U39" s="62"/>
      <c r="V39" s="28"/>
      <c r="W39" s="63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 t="s">
        <v>122</v>
      </c>
      <c r="O40" s="28">
        <v>1.78705E8</v>
      </c>
      <c r="P40" s="8"/>
      <c r="Q40" s="42"/>
      <c r="R40" s="42"/>
      <c r="S40" s="28"/>
      <c r="T40" s="62"/>
      <c r="U40" s="62"/>
      <c r="V40" s="28"/>
      <c r="W40" s="63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9" t="s">
        <v>90</v>
      </c>
      <c r="T41" s="70">
        <f t="shared" ref="T41:V41" si="1">sum(T29:T40)</f>
        <v>24</v>
      </c>
      <c r="U41" s="70">
        <f t="shared" si="1"/>
        <v>23702306000</v>
      </c>
      <c r="V41" s="70">
        <f t="shared" si="1"/>
        <v>1643600000</v>
      </c>
      <c r="W41" s="4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"/>
      <c r="O42" s="8" t="s">
        <v>123</v>
      </c>
      <c r="P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71" t="s">
        <v>124</v>
      </c>
      <c r="O43" s="72">
        <v>6.864567E9</v>
      </c>
      <c r="P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73" t="s">
        <v>125</v>
      </c>
      <c r="O44" s="72">
        <v>6.880161E9</v>
      </c>
      <c r="P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4" t="s">
        <v>126</v>
      </c>
      <c r="O45" s="75">
        <v>1.133249E9</v>
      </c>
      <c r="P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6" t="s">
        <v>127</v>
      </c>
      <c r="O46" s="75">
        <v>7.61592E8</v>
      </c>
      <c r="P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6" t="s">
        <v>128</v>
      </c>
      <c r="O47" s="75">
        <v>8.74072E8</v>
      </c>
      <c r="P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N48" s="77" t="s">
        <v>129</v>
      </c>
      <c r="O48" s="75">
        <v>2.49796E8</v>
      </c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130</v>
      </c>
      <c r="O49" s="75">
        <v>7.29847E9</v>
      </c>
      <c r="Q49" s="1"/>
      <c r="R49" s="1"/>
      <c r="S49" s="1"/>
      <c r="T49" s="1"/>
      <c r="U49" s="1"/>
      <c r="V49" s="1"/>
      <c r="W49" s="4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N50" s="77" t="s">
        <v>131</v>
      </c>
      <c r="O50" s="78">
        <v>1.5637E7</v>
      </c>
      <c r="Q50" s="1"/>
      <c r="R50" s="1"/>
      <c r="S50" s="1"/>
      <c r="T50" s="1"/>
      <c r="U50" s="1"/>
      <c r="V50" s="1"/>
      <c r="W50" s="4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Q51" s="1"/>
      <c r="R51" s="1"/>
      <c r="S51" s="1"/>
      <c r="T51" s="1"/>
      <c r="U51" s="1"/>
      <c r="V51" s="1"/>
      <c r="W51" s="4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Q52" s="1"/>
      <c r="R52" s="1"/>
      <c r="S52" s="1"/>
      <c r="T52" s="1"/>
      <c r="U52" s="1"/>
      <c r="V52" s="1"/>
      <c r="W52" s="4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Q53" s="1"/>
      <c r="R53" s="1"/>
      <c r="S53" s="1"/>
      <c r="T53" s="1"/>
      <c r="U53" s="1"/>
      <c r="V53" s="1"/>
      <c r="W53" s="4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Q54" s="1"/>
      <c r="R54" s="1"/>
      <c r="S54" s="1"/>
      <c r="T54" s="1"/>
      <c r="U54" s="1"/>
      <c r="V54" s="1"/>
      <c r="W54" s="4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Q55" s="1"/>
      <c r="R55" s="1"/>
      <c r="S55" s="1"/>
      <c r="T55" s="1"/>
      <c r="U55" s="1"/>
      <c r="V55" s="1"/>
      <c r="W55" s="4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Q56" s="1"/>
      <c r="R56" s="1"/>
      <c r="S56" s="1"/>
      <c r="T56" s="1"/>
      <c r="U56" s="1"/>
      <c r="V56" s="1"/>
      <c r="W56" s="4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Q57" s="1"/>
      <c r="R57" s="1"/>
      <c r="S57" s="1"/>
      <c r="T57" s="1"/>
      <c r="U57" s="1"/>
      <c r="V57" s="1"/>
      <c r="W57" s="4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Q58" s="1"/>
      <c r="R58" s="1"/>
      <c r="S58" s="1"/>
      <c r="T58" s="1"/>
      <c r="U58" s="1"/>
      <c r="V58" s="1"/>
      <c r="W58" s="4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Q59" s="1"/>
      <c r="R59" s="1"/>
      <c r="S59" s="1"/>
      <c r="T59" s="1"/>
      <c r="U59" s="1"/>
      <c r="V59" s="1"/>
      <c r="W59" s="4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Q60" s="1"/>
      <c r="R60" s="1"/>
      <c r="S60" s="1"/>
      <c r="T60" s="1"/>
      <c r="U60" s="1"/>
      <c r="V60" s="1"/>
      <c r="W60" s="4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Q61" s="1"/>
      <c r="R61" s="1"/>
      <c r="S61" s="1"/>
      <c r="T61" s="1"/>
      <c r="U61" s="1"/>
      <c r="V61" s="1"/>
      <c r="W61" s="4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Q62" s="1"/>
      <c r="R62" s="1"/>
      <c r="S62" s="1"/>
      <c r="T62" s="1"/>
      <c r="U62" s="1"/>
      <c r="V62" s="1"/>
      <c r="W62" s="4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Q63" s="1"/>
      <c r="R63" s="1"/>
      <c r="S63" s="1"/>
      <c r="T63" s="1"/>
      <c r="U63" s="1"/>
      <c r="V63" s="1"/>
      <c r="W63" s="4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Q64" s="1"/>
      <c r="R64" s="1"/>
      <c r="S64" s="1"/>
      <c r="T64" s="1"/>
      <c r="U64" s="1"/>
      <c r="V64" s="1"/>
      <c r="W64" s="4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Q65" s="1"/>
      <c r="R65" s="1"/>
      <c r="S65" s="1"/>
      <c r="T65" s="1"/>
      <c r="U65" s="1"/>
      <c r="V65" s="1"/>
      <c r="W65" s="4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Q66" s="1"/>
      <c r="R66" s="1"/>
      <c r="S66" s="1"/>
      <c r="T66" s="1"/>
      <c r="U66" s="1"/>
      <c r="V66" s="1"/>
      <c r="W66" s="4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Q67" s="1"/>
      <c r="R67" s="1"/>
      <c r="S67" s="1"/>
      <c r="T67" s="1"/>
      <c r="U67" s="1"/>
      <c r="V67" s="1"/>
      <c r="W67" s="4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Q68" s="1"/>
      <c r="R68" s="1"/>
      <c r="S68" s="1"/>
      <c r="T68" s="1"/>
      <c r="U68" s="1"/>
      <c r="V68" s="1"/>
      <c r="W68" s="4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Q69" s="1"/>
      <c r="R69" s="1"/>
      <c r="S69" s="1"/>
      <c r="T69" s="1"/>
      <c r="U69" s="1"/>
      <c r="V69" s="1"/>
      <c r="W69" s="4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Q70" s="1"/>
      <c r="R70" s="1"/>
      <c r="S70" s="1"/>
      <c r="T70" s="1"/>
      <c r="U70" s="1"/>
      <c r="V70" s="1"/>
      <c r="W70" s="4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Q71" s="1"/>
      <c r="R71" s="1"/>
      <c r="S71" s="1"/>
      <c r="T71" s="1"/>
      <c r="U71" s="1"/>
      <c r="V71" s="1"/>
      <c r="W71" s="4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Q72" s="1"/>
      <c r="R72" s="1"/>
      <c r="S72" s="1"/>
      <c r="T72" s="1"/>
      <c r="U72" s="1"/>
      <c r="V72" s="1"/>
      <c r="W72" s="4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Q73" s="1"/>
      <c r="R73" s="1"/>
      <c r="S73" s="1"/>
      <c r="T73" s="1"/>
      <c r="U73" s="1"/>
      <c r="V73" s="1"/>
      <c r="W73" s="4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Q74" s="1"/>
      <c r="R74" s="1"/>
      <c r="S74" s="1"/>
      <c r="T74" s="1"/>
      <c r="U74" s="1"/>
      <c r="V74" s="1"/>
      <c r="W74" s="4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Q75" s="1"/>
      <c r="R75" s="1"/>
      <c r="S75" s="1"/>
      <c r="T75" s="1"/>
      <c r="U75" s="1"/>
      <c r="V75" s="1"/>
      <c r="W75" s="4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Q76" s="1"/>
      <c r="R76" s="1"/>
      <c r="S76" s="1"/>
      <c r="T76" s="1"/>
      <c r="U76" s="1"/>
      <c r="V76" s="1"/>
      <c r="W76" s="4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Q77" s="1"/>
      <c r="R77" s="1"/>
      <c r="S77" s="1"/>
      <c r="T77" s="1"/>
      <c r="U77" s="1"/>
      <c r="V77" s="1"/>
      <c r="W77" s="4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Q78" s="1"/>
      <c r="R78" s="1"/>
      <c r="S78" s="1"/>
      <c r="T78" s="1"/>
      <c r="U78" s="1"/>
      <c r="V78" s="1"/>
      <c r="W78" s="4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Q79" s="1"/>
      <c r="R79" s="1"/>
      <c r="S79" s="1"/>
      <c r="T79" s="1"/>
      <c r="U79" s="1"/>
      <c r="V79" s="1"/>
      <c r="W79" s="4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Q80" s="1"/>
      <c r="R80" s="1"/>
      <c r="S80" s="1"/>
      <c r="T80" s="1"/>
      <c r="U80" s="1"/>
      <c r="V80" s="1"/>
      <c r="W80" s="4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4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4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4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4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4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4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4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4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4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4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4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4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4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4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4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4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4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4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4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4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4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4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4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4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4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4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4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4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4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4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4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4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4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4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4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4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4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4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4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4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4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4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4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4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4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4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4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4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4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4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4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4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4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4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4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4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4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4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4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4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4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4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4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4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4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4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4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4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4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4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4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4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4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4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4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4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4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4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4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4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4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4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4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4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4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4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4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4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4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4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4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4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4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4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4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4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4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4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4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4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4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4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4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4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4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4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4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4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4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4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4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4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4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4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4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4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4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4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4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4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4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4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4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4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4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4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4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4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4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4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4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4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4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4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4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4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4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4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4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4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4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4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4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4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4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4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4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4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4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4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4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4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4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4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4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4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4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4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4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4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4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4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4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4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4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4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4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4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4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4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4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4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4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4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4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4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4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4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4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4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4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4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4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4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4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4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4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4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4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4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4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4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4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4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4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4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4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4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4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4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4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4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4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4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4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4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4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4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4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4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4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4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4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4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4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4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4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4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4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4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4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4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4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4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4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4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4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4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4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4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4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4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4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4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4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4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4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4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4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4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4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4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4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4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4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4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4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4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4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4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4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4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4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4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4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4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4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4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4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4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4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4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4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4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4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4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4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4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4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4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4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4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4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4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4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4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4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4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4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4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4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4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4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4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4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4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4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4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4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4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4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4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4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4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4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4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4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4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4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4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4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4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4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4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4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4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4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4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4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4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4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4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4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4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4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4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4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4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4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4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4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4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4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4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4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4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4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4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4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4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4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4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4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4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4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4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4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4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4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4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4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4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4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4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4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4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4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4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4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4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4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4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4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4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4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4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4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4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4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4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4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4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4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4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4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4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4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4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4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4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4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4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4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4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4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4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4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4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4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4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4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4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4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4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4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4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4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4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4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4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4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4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4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4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4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4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4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4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4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4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4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4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4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4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4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4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4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4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4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4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4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4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4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4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4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4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4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4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4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4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4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4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4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4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4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4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4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4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4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4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4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4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4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4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4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4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4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4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4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4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4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4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4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4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4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4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4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4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4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4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4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4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4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4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4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4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4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4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4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4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4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4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4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4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4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4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4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4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4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4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4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4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4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4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4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4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4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4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4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4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4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4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4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4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4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4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4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4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4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4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4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4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4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4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4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4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4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4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4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4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4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4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4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4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4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4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4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4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4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4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4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4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4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4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4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4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4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4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4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4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4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4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4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4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4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4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4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4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4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4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4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4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4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4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4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4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4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4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4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4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4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4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4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4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4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4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4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4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4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4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4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4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4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4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4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4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4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4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4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4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4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4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4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4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4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4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4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4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4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4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4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4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4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4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4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4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4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4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4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4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4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4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4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4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4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4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4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4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4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4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4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4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4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4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4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4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4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4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4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4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4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4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4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4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4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4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4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4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4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4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4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4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4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4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4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4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4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4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4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4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4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4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4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4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4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4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4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4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4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4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4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4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4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4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4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4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4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4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4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4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4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4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4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4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4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4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4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4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4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4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4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4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4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4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4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4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4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4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4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4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4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4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4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4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4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4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4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4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4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4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4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4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4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4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4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4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4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4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4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4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4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4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4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4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4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4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4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4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4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4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4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4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4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4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4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4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4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4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4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4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4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4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4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4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4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4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4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4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4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4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4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4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4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4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4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4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4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4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4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4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4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4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4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4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4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4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4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4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4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4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4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4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4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4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4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4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4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4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4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4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4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4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4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4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4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4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4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4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4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4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4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4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4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4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4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4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4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4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4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4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4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4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4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4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4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4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4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4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4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4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4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4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4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4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4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4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4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4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4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4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4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4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4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4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"/>
      <c r="U969" s="1"/>
      <c r="V969" s="1"/>
      <c r="W969" s="4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"/>
      <c r="U970" s="1"/>
      <c r="V970" s="1"/>
      <c r="W970" s="4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"/>
      <c r="U971" s="1"/>
      <c r="V971" s="1"/>
      <c r="W971" s="4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"/>
      <c r="U972" s="1"/>
      <c r="V972" s="1"/>
      <c r="W972" s="4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"/>
      <c r="U973" s="1"/>
      <c r="V973" s="1"/>
      <c r="W973" s="4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Q974" s="1"/>
      <c r="R974" s="1"/>
      <c r="S974" s="1"/>
      <c r="T974" s="1"/>
      <c r="U974" s="1"/>
      <c r="V974" s="1"/>
      <c r="W974" s="4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Q975" s="1"/>
      <c r="R975" s="1"/>
      <c r="S975" s="1"/>
      <c r="T975" s="1"/>
      <c r="U975" s="1"/>
      <c r="V975" s="1"/>
      <c r="W975" s="4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Q976" s="1"/>
      <c r="R976" s="1"/>
      <c r="S976" s="1"/>
      <c r="T976" s="1"/>
      <c r="U976" s="1"/>
      <c r="V976" s="1"/>
      <c r="W976" s="4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Q977" s="1"/>
      <c r="R977" s="1"/>
      <c r="S977" s="1"/>
      <c r="T977" s="1"/>
      <c r="U977" s="1"/>
      <c r="V977" s="1"/>
      <c r="W977" s="4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Q978" s="1"/>
      <c r="R978" s="1"/>
      <c r="S978" s="1"/>
      <c r="T978" s="1"/>
      <c r="U978" s="1"/>
      <c r="V978" s="1"/>
      <c r="W978" s="4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X995" s="1"/>
      <c r="Y995" s="1"/>
      <c r="Z995" s="1"/>
      <c r="AA995" s="1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Q6:Q25 Q29:Q40">
      <formula1>"Australia,Germany,Singapore"</formula1>
    </dataValidation>
    <dataValidation type="list" allowBlank="1" showErrorMessage="1" sqref="F6:F11">
      <formula1>"Sales &amp; Marketing,General &amp; Admin,R&amp;D,Salaries &amp; Benefits,Other expenses"</formula1>
    </dataValidation>
    <dataValidation type="list" allowBlank="1" showErrorMessage="1" sqref="C6:C7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8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Store/Supermarket"</formula1>
    </dataValidation>
    <dataValidation type="list" allowBlank="1" showErrorMessage="1" sqref="R6:R25 R29:R40">
      <formula1>"Integrated Development,Office,Retail"</formula1>
    </dataValidation>
    <dataValidation type="list" allowBlank="1" showErrorMessage="1" sqref="C8">
      <formula1>"Product Sales,Product Rental,Non-product rental/lease income,Service and Maintenance income,Other income"</formula1>
    </dataValidation>
    <dataValidation type="list" allowBlank="1" showErrorMessage="1" sqref="C9:C10">
      <formula1>"Product Sales,Product Manufacturing,Product Rental,Logistics &amp; Deliveries,Service and Maintenance income,Non-product rental/lease income,Other income,Adjustments and elimination"</formula1>
    </dataValidation>
  </dataValidations>
  <hyperlinks>
    <hyperlink r:id="rId1" ref="B1"/>
    <hyperlink r:id="rId2" ref="B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5.5"/>
    <col customWidth="1" min="18" max="19" width="26.5"/>
    <col customWidth="1" min="20" max="20" width="15.5"/>
    <col customWidth="1" min="21" max="21" width="26.25"/>
    <col customWidth="1" min="22" max="22" width="21.0"/>
    <col customWidth="1" min="23" max="23" width="20.13"/>
    <col customWidth="1" min="24" max="27" width="26.5"/>
  </cols>
  <sheetData>
    <row r="1">
      <c r="A1" s="1" t="s">
        <v>0</v>
      </c>
      <c r="B1" s="2" t="s">
        <v>132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79"/>
      <c r="X1" s="1"/>
      <c r="Y1" s="1"/>
      <c r="Z1" s="1"/>
      <c r="AA1" s="1"/>
    </row>
    <row r="2">
      <c r="A2" s="1" t="s">
        <v>2</v>
      </c>
      <c r="B2" s="5" t="s">
        <v>133</v>
      </c>
      <c r="C2" s="1"/>
      <c r="D2" s="6" t="s">
        <v>4</v>
      </c>
      <c r="E2" s="7">
        <v>45657.0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79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1"/>
      <c r="W3" s="79"/>
      <c r="X3" s="1"/>
      <c r="Y3" s="9"/>
      <c r="Z3" s="9"/>
      <c r="AA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1.523046E9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3.50213E8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>
        <v>51.0</v>
      </c>
      <c r="AA5" s="9"/>
    </row>
    <row r="6">
      <c r="A6" s="17" t="s">
        <v>26</v>
      </c>
      <c r="B6" s="18">
        <v>-4.73121E8</v>
      </c>
      <c r="C6" s="19" t="s">
        <v>27</v>
      </c>
      <c r="D6" s="28" t="s">
        <v>134</v>
      </c>
      <c r="E6" s="29">
        <v>1.244634E9</v>
      </c>
      <c r="F6" s="30" t="s">
        <v>29</v>
      </c>
      <c r="G6" s="31" t="s">
        <v>30</v>
      </c>
      <c r="H6" s="18">
        <v>-8.6197E7</v>
      </c>
      <c r="I6" s="8"/>
      <c r="J6" s="32" t="s">
        <v>135</v>
      </c>
      <c r="K6" s="32" t="s">
        <v>112</v>
      </c>
      <c r="L6" s="34">
        <v>3.1</v>
      </c>
      <c r="M6" s="1"/>
      <c r="N6" s="22" t="s">
        <v>33</v>
      </c>
      <c r="O6" s="23">
        <v>1.7918797E10</v>
      </c>
      <c r="P6" s="1"/>
      <c r="Q6" s="17" t="s">
        <v>34</v>
      </c>
      <c r="R6" s="42" t="s">
        <v>136</v>
      </c>
      <c r="S6" s="35" t="s">
        <v>137</v>
      </c>
      <c r="T6" s="62"/>
      <c r="U6" s="62">
        <v>7.98E8</v>
      </c>
      <c r="V6" s="55">
        <v>6.06E7</v>
      </c>
      <c r="W6" s="80">
        <v>99.9</v>
      </c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1049925000</v>
      </c>
      <c r="C7" s="30" t="s">
        <v>48</v>
      </c>
      <c r="D7" s="44" t="s">
        <v>46</v>
      </c>
      <c r="E7" s="18">
        <v>2.78412E8</v>
      </c>
      <c r="F7" s="30" t="s">
        <v>29</v>
      </c>
      <c r="G7" s="31" t="s">
        <v>49</v>
      </c>
      <c r="H7" s="31">
        <v>-1.2385E7</v>
      </c>
      <c r="I7" s="1"/>
      <c r="J7" s="32" t="s">
        <v>138</v>
      </c>
      <c r="K7" s="45" t="s">
        <v>139</v>
      </c>
      <c r="L7" s="41">
        <v>2.1</v>
      </c>
      <c r="M7" s="1"/>
      <c r="N7" s="42" t="s">
        <v>43</v>
      </c>
      <c r="O7" s="43">
        <f>sum(O5:O6)</f>
        <v>18269010000</v>
      </c>
      <c r="P7" s="1"/>
      <c r="Q7" s="17" t="s">
        <v>34</v>
      </c>
      <c r="R7" s="42" t="s">
        <v>140</v>
      </c>
      <c r="S7" s="35" t="s">
        <v>141</v>
      </c>
      <c r="T7" s="62"/>
      <c r="U7" s="62">
        <v>6.52E8</v>
      </c>
      <c r="V7" s="55">
        <v>5.12E7</v>
      </c>
      <c r="W7" s="80">
        <v>96.5</v>
      </c>
      <c r="X7" s="1"/>
      <c r="Y7" s="17" t="s">
        <v>46</v>
      </c>
      <c r="Z7" s="28">
        <v>1.0</v>
      </c>
      <c r="AA7" s="9"/>
    </row>
    <row r="8">
      <c r="A8" s="17" t="s">
        <v>47</v>
      </c>
      <c r="B8" s="18">
        <v>-9.8582E7</v>
      </c>
      <c r="C8" s="30"/>
      <c r="D8" s="44"/>
      <c r="E8" s="18"/>
      <c r="F8" s="30"/>
      <c r="G8" s="31"/>
      <c r="H8" s="31"/>
      <c r="I8" s="1"/>
      <c r="J8" s="45" t="s">
        <v>142</v>
      </c>
      <c r="K8" s="32" t="s">
        <v>112</v>
      </c>
      <c r="L8" s="34">
        <v>1.8</v>
      </c>
      <c r="M8" s="1"/>
      <c r="N8" s="42" t="s">
        <v>51</v>
      </c>
      <c r="O8" s="23">
        <v>1.520504E9</v>
      </c>
      <c r="P8" s="1"/>
      <c r="Q8" s="17" t="s">
        <v>34</v>
      </c>
      <c r="R8" s="42" t="s">
        <v>136</v>
      </c>
      <c r="S8" s="35" t="s">
        <v>143</v>
      </c>
      <c r="T8" s="62"/>
      <c r="U8" s="62">
        <v>5.096E8</v>
      </c>
      <c r="V8" s="55">
        <v>3.64E7</v>
      </c>
      <c r="W8" s="80">
        <v>99.5</v>
      </c>
      <c r="X8" s="1"/>
      <c r="Y8" s="17" t="s">
        <v>53</v>
      </c>
      <c r="Z8" s="43">
        <f>SUM(Z5:Z7)</f>
        <v>52</v>
      </c>
      <c r="AA8" s="9"/>
    </row>
    <row r="9">
      <c r="A9" s="17" t="s">
        <v>54</v>
      </c>
      <c r="B9" s="40">
        <f>sum(B7:B8)</f>
        <v>951343000</v>
      </c>
      <c r="C9" s="19"/>
      <c r="D9" s="44"/>
      <c r="E9" s="47"/>
      <c r="F9" s="19"/>
      <c r="G9" s="31"/>
      <c r="H9" s="31"/>
      <c r="I9" s="1"/>
      <c r="J9" s="45" t="s">
        <v>144</v>
      </c>
      <c r="K9" s="32" t="s">
        <v>112</v>
      </c>
      <c r="L9" s="34">
        <v>1.8</v>
      </c>
      <c r="M9" s="1"/>
      <c r="N9" s="42" t="s">
        <v>58</v>
      </c>
      <c r="O9" s="23">
        <v>6.439991E9</v>
      </c>
      <c r="P9" s="1"/>
      <c r="Q9" s="17" t="s">
        <v>34</v>
      </c>
      <c r="R9" s="42" t="s">
        <v>136</v>
      </c>
      <c r="S9" s="35" t="s">
        <v>145</v>
      </c>
      <c r="T9" s="62"/>
      <c r="U9" s="62">
        <v>4.95E8</v>
      </c>
      <c r="V9" s="55">
        <v>3.48E7</v>
      </c>
      <c r="W9" s="80">
        <v>100.0</v>
      </c>
      <c r="X9" s="1"/>
      <c r="Y9" s="9"/>
      <c r="Z9" s="9"/>
      <c r="AA9" s="9"/>
    </row>
    <row r="10">
      <c r="A10" s="17" t="s">
        <v>60</v>
      </c>
      <c r="B10" s="18">
        <v>-2.05097E8</v>
      </c>
      <c r="C10" s="19"/>
      <c r="D10" s="47"/>
      <c r="E10" s="47"/>
      <c r="F10" s="48"/>
      <c r="G10" s="49"/>
      <c r="H10" s="31"/>
      <c r="I10" s="1"/>
      <c r="J10" s="33" t="s">
        <v>146</v>
      </c>
      <c r="K10" s="32" t="s">
        <v>112</v>
      </c>
      <c r="L10" s="34">
        <v>1.6</v>
      </c>
      <c r="M10" s="1"/>
      <c r="N10" s="42" t="s">
        <v>64</v>
      </c>
      <c r="O10" s="43">
        <f>sum(O8:O9)</f>
        <v>7960495000</v>
      </c>
      <c r="P10" s="1"/>
      <c r="Q10" s="17" t="s">
        <v>34</v>
      </c>
      <c r="R10" s="42" t="s">
        <v>147</v>
      </c>
      <c r="S10" s="35" t="s">
        <v>148</v>
      </c>
      <c r="T10" s="62"/>
      <c r="U10" s="62">
        <v>3.88E8</v>
      </c>
      <c r="V10" s="55">
        <v>3.4E7</v>
      </c>
      <c r="W10" s="80">
        <v>94.2</v>
      </c>
      <c r="X10" s="1"/>
      <c r="Y10" s="9"/>
      <c r="Z10" s="9"/>
      <c r="AA10" s="9"/>
    </row>
    <row r="11">
      <c r="A11" s="17" t="s">
        <v>67</v>
      </c>
      <c r="B11" s="40">
        <f>sum(B9:B10)</f>
        <v>746246000</v>
      </c>
      <c r="C11" s="19"/>
      <c r="D11" s="47"/>
      <c r="E11" s="47"/>
      <c r="F11" s="19"/>
      <c r="G11" s="31"/>
      <c r="H11" s="31"/>
      <c r="I11" s="1"/>
      <c r="J11" s="32" t="s">
        <v>149</v>
      </c>
      <c r="K11" s="45" t="s">
        <v>42</v>
      </c>
      <c r="L11" s="41">
        <v>1.4</v>
      </c>
      <c r="M11" s="9"/>
      <c r="N11" s="42" t="s">
        <v>70</v>
      </c>
      <c r="O11" s="43">
        <f>O7-O10</f>
        <v>10308515000</v>
      </c>
      <c r="P11" s="9"/>
      <c r="Q11" s="17" t="s">
        <v>34</v>
      </c>
      <c r="R11" s="42" t="s">
        <v>147</v>
      </c>
      <c r="S11" s="35" t="s">
        <v>150</v>
      </c>
      <c r="T11" s="62"/>
      <c r="U11" s="62">
        <v>1.6E8</v>
      </c>
      <c r="V11" s="55">
        <v>2.88E7</v>
      </c>
      <c r="W11" s="80">
        <v>100.0</v>
      </c>
      <c r="X11" s="1"/>
      <c r="Y11" s="9"/>
      <c r="Z11" s="9"/>
      <c r="AA11" s="9"/>
    </row>
    <row r="12">
      <c r="A12" s="17" t="s">
        <v>72</v>
      </c>
      <c r="B12" s="50">
        <v>1.7861E7</v>
      </c>
      <c r="C12" s="19"/>
      <c r="D12" s="47"/>
      <c r="E12" s="47"/>
      <c r="F12" s="48"/>
      <c r="G12" s="49"/>
      <c r="H12" s="31"/>
      <c r="I12" s="1"/>
      <c r="J12" s="32" t="s">
        <v>151</v>
      </c>
      <c r="K12" s="32" t="s">
        <v>112</v>
      </c>
      <c r="L12" s="41">
        <v>1.3</v>
      </c>
      <c r="M12" s="9"/>
      <c r="N12" s="9"/>
      <c r="O12" s="9"/>
      <c r="P12" s="9"/>
      <c r="Q12" s="17" t="s">
        <v>34</v>
      </c>
      <c r="R12" s="42" t="s">
        <v>152</v>
      </c>
      <c r="S12" s="35" t="s">
        <v>153</v>
      </c>
      <c r="T12" s="62"/>
      <c r="U12" s="62">
        <v>2.8E8</v>
      </c>
      <c r="V12" s="55">
        <v>2.68E7</v>
      </c>
      <c r="W12" s="80">
        <v>99.8</v>
      </c>
      <c r="X12" s="1"/>
      <c r="Y12" s="9"/>
      <c r="Z12" s="9"/>
      <c r="AA12" s="9"/>
    </row>
    <row r="13">
      <c r="A13" s="17" t="s">
        <v>76</v>
      </c>
      <c r="B13" s="40">
        <f>SUM(B11:B12)</f>
        <v>764107000</v>
      </c>
      <c r="C13" s="19"/>
      <c r="D13" s="47"/>
      <c r="E13" s="47"/>
      <c r="F13" s="19"/>
      <c r="G13" s="47"/>
      <c r="H13" s="47"/>
      <c r="I13" s="1"/>
      <c r="J13" s="32" t="s">
        <v>154</v>
      </c>
      <c r="K13" s="45" t="s">
        <v>42</v>
      </c>
      <c r="L13" s="41">
        <v>1.1</v>
      </c>
      <c r="M13" s="9"/>
      <c r="N13" s="42" t="s">
        <v>79</v>
      </c>
      <c r="O13" s="51">
        <f>O5-O8</f>
        <v>-1170291000</v>
      </c>
      <c r="P13" s="9"/>
      <c r="Q13" s="17" t="s">
        <v>34</v>
      </c>
      <c r="R13" s="42" t="s">
        <v>136</v>
      </c>
      <c r="S13" s="35" t="s">
        <v>155</v>
      </c>
      <c r="T13" s="62"/>
      <c r="U13" s="62">
        <v>3.42E8</v>
      </c>
      <c r="V13" s="55">
        <v>2.43E7</v>
      </c>
      <c r="W13" s="80">
        <v>79.0</v>
      </c>
      <c r="X13" s="1"/>
      <c r="Y13" s="9"/>
      <c r="Z13" s="9"/>
      <c r="AA13" s="9"/>
    </row>
    <row r="14">
      <c r="A14" s="17" t="s">
        <v>81</v>
      </c>
      <c r="B14" s="50">
        <v>0.0</v>
      </c>
      <c r="C14" s="19"/>
      <c r="D14" s="47"/>
      <c r="E14" s="47"/>
      <c r="F14" s="19"/>
      <c r="G14" s="47"/>
      <c r="H14" s="47"/>
      <c r="I14" s="1"/>
      <c r="J14" s="32" t="s">
        <v>156</v>
      </c>
      <c r="K14" s="32" t="s">
        <v>112</v>
      </c>
      <c r="L14" s="41">
        <v>1.1</v>
      </c>
      <c r="M14" s="9"/>
      <c r="P14" s="9"/>
      <c r="Q14" s="17" t="s">
        <v>34</v>
      </c>
      <c r="R14" s="42" t="s">
        <v>157</v>
      </c>
      <c r="S14" s="35" t="s">
        <v>158</v>
      </c>
      <c r="T14" s="62"/>
      <c r="U14" s="62">
        <v>2.697E8</v>
      </c>
      <c r="V14" s="55">
        <v>2.36E7</v>
      </c>
      <c r="W14" s="80">
        <v>99.6</v>
      </c>
      <c r="X14" s="1"/>
      <c r="Y14" s="9"/>
      <c r="Z14" s="9"/>
      <c r="AA14" s="9"/>
    </row>
    <row r="15">
      <c r="A15" s="42" t="s">
        <v>85</v>
      </c>
      <c r="B15" s="50">
        <v>-9025000.0</v>
      </c>
      <c r="C15" s="19"/>
      <c r="D15" s="47"/>
      <c r="E15" s="47"/>
      <c r="F15" s="19"/>
      <c r="G15" s="47"/>
      <c r="H15" s="47"/>
      <c r="I15" s="1"/>
      <c r="J15" s="32" t="s">
        <v>159</v>
      </c>
      <c r="K15" s="45" t="s">
        <v>42</v>
      </c>
      <c r="L15" s="41">
        <v>0.9</v>
      </c>
      <c r="M15" s="1"/>
      <c r="N15" s="8" t="s">
        <v>87</v>
      </c>
      <c r="O15" s="9"/>
      <c r="P15" s="1"/>
      <c r="Q15" s="17" t="s">
        <v>34</v>
      </c>
      <c r="R15" s="42" t="s">
        <v>140</v>
      </c>
      <c r="S15" s="35" t="s">
        <v>160</v>
      </c>
      <c r="T15" s="62"/>
      <c r="U15" s="62">
        <v>2.015E8</v>
      </c>
      <c r="V15" s="55">
        <v>2.01E7</v>
      </c>
      <c r="W15" s="80">
        <v>98.1</v>
      </c>
      <c r="X15" s="1"/>
      <c r="Y15" s="9"/>
      <c r="Z15" s="9"/>
      <c r="AA15" s="9"/>
    </row>
    <row r="16">
      <c r="A16" s="42" t="s">
        <v>89</v>
      </c>
      <c r="B16" s="40">
        <f>SUM(B13:B15)</f>
        <v>755082000</v>
      </c>
      <c r="C16" s="19"/>
      <c r="D16" s="47"/>
      <c r="E16" s="47"/>
      <c r="F16" s="19"/>
      <c r="G16" s="47"/>
      <c r="H16" s="47"/>
      <c r="I16" s="1"/>
      <c r="J16" s="53" t="s">
        <v>90</v>
      </c>
      <c r="K16" s="53"/>
      <c r="L16" s="54">
        <f>SUM(L6:L15)</f>
        <v>16.2</v>
      </c>
      <c r="M16" s="1"/>
      <c r="N16" s="42" t="s">
        <v>91</v>
      </c>
      <c r="O16" s="23">
        <v>9.47832E8</v>
      </c>
      <c r="P16" s="1"/>
      <c r="Q16" s="17" t="s">
        <v>34</v>
      </c>
      <c r="R16" s="42" t="s">
        <v>140</v>
      </c>
      <c r="S16" s="35" t="s">
        <v>161</v>
      </c>
      <c r="T16" s="62"/>
      <c r="U16" s="62">
        <v>1.775E8</v>
      </c>
      <c r="V16" s="55">
        <v>1.91E7</v>
      </c>
      <c r="W16" s="80">
        <v>100.0</v>
      </c>
      <c r="X16" s="1"/>
      <c r="Y16" s="9"/>
      <c r="Z16" s="9"/>
      <c r="AA16" s="9"/>
    </row>
    <row r="17">
      <c r="A17" s="17" t="s">
        <v>93</v>
      </c>
      <c r="B17" s="81">
        <v>-2.71265E8</v>
      </c>
      <c r="C17" s="19"/>
      <c r="D17" s="47"/>
      <c r="E17" s="47"/>
      <c r="F17" s="19"/>
      <c r="G17" s="47"/>
      <c r="H17" s="47"/>
      <c r="I17" s="1"/>
      <c r="J17" s="1"/>
      <c r="K17" s="1"/>
      <c r="L17" s="1"/>
      <c r="M17" s="9"/>
      <c r="N17" s="42" t="s">
        <v>94</v>
      </c>
      <c r="O17" s="55">
        <v>-6.2463E7</v>
      </c>
      <c r="P17" s="1"/>
      <c r="Q17" s="17" t="s">
        <v>34</v>
      </c>
      <c r="R17" s="42" t="s">
        <v>136</v>
      </c>
      <c r="S17" s="35" t="s">
        <v>162</v>
      </c>
      <c r="T17" s="62"/>
      <c r="U17" s="62">
        <v>2.3E8</v>
      </c>
      <c r="V17" s="55">
        <v>1.85E7</v>
      </c>
      <c r="W17" s="80">
        <v>100.0</v>
      </c>
      <c r="X17" s="1"/>
      <c r="Y17" s="9"/>
      <c r="Z17" s="9"/>
      <c r="AA17" s="9"/>
    </row>
    <row r="18">
      <c r="A18" s="17" t="s">
        <v>96</v>
      </c>
      <c r="B18" s="56">
        <f>B9</f>
        <v>951343000</v>
      </c>
      <c r="C18" s="19"/>
      <c r="D18" s="47"/>
      <c r="E18" s="47"/>
      <c r="F18" s="19"/>
      <c r="G18" s="47"/>
      <c r="H18" s="47"/>
      <c r="I18" s="1"/>
      <c r="J18" s="14" t="s">
        <v>97</v>
      </c>
      <c r="K18" s="15"/>
      <c r="L18" s="16"/>
      <c r="M18" s="1"/>
      <c r="N18" s="42" t="s">
        <v>98</v>
      </c>
      <c r="O18" s="55">
        <v>-9.44209E8</v>
      </c>
      <c r="P18" s="1"/>
      <c r="Q18" s="17" t="s">
        <v>34</v>
      </c>
      <c r="R18" s="42" t="s">
        <v>140</v>
      </c>
      <c r="S18" s="35" t="s">
        <v>163</v>
      </c>
      <c r="T18" s="62"/>
      <c r="U18" s="62">
        <v>1.307E8</v>
      </c>
      <c r="V18" s="55">
        <v>1.83E7</v>
      </c>
      <c r="W18" s="80">
        <v>81.1</v>
      </c>
      <c r="X18" s="1"/>
      <c r="Y18" s="9"/>
      <c r="Z18" s="9"/>
      <c r="AA18" s="9"/>
    </row>
    <row r="19">
      <c r="A19" s="17" t="s">
        <v>100</v>
      </c>
      <c r="B19" s="42"/>
      <c r="C19" s="19"/>
      <c r="D19" s="47"/>
      <c r="E19" s="47"/>
      <c r="F19" s="19"/>
      <c r="G19" s="47"/>
      <c r="H19" s="47"/>
      <c r="I19" s="1"/>
      <c r="J19" s="32" t="s">
        <v>112</v>
      </c>
      <c r="K19" s="32"/>
      <c r="L19" s="82">
        <v>43.0</v>
      </c>
      <c r="M19" s="1"/>
      <c r="N19" s="42" t="s">
        <v>101</v>
      </c>
      <c r="O19" s="43">
        <f>sum(O16:O18)</f>
        <v>-58840000</v>
      </c>
      <c r="P19" s="1"/>
      <c r="Q19" s="17" t="s">
        <v>34</v>
      </c>
      <c r="R19" s="42" t="s">
        <v>140</v>
      </c>
      <c r="S19" s="35" t="s">
        <v>164</v>
      </c>
      <c r="T19" s="62"/>
      <c r="U19" s="62">
        <v>2.183E8</v>
      </c>
      <c r="V19" s="55">
        <v>1.8E7</v>
      </c>
      <c r="W19" s="80">
        <v>90.7</v>
      </c>
      <c r="X19" s="1"/>
      <c r="Y19" s="9"/>
      <c r="Z19" s="9"/>
      <c r="AA19" s="9"/>
    </row>
    <row r="20">
      <c r="A20" s="17" t="s">
        <v>103</v>
      </c>
      <c r="B20" s="56">
        <f>B11-B17-B19</f>
        <v>1017511000</v>
      </c>
      <c r="C20" s="19"/>
      <c r="D20" s="47"/>
      <c r="E20" s="47"/>
      <c r="F20" s="19"/>
      <c r="G20" s="47"/>
      <c r="H20" s="47"/>
      <c r="I20" s="1"/>
      <c r="J20" s="32" t="s">
        <v>165</v>
      </c>
      <c r="K20" s="44"/>
      <c r="L20" s="41">
        <v>16.5</v>
      </c>
      <c r="M20" s="1"/>
      <c r="N20" s="57"/>
      <c r="O20" s="9"/>
      <c r="P20" s="1"/>
      <c r="Q20" s="17" t="s">
        <v>34</v>
      </c>
      <c r="R20" s="42" t="s">
        <v>136</v>
      </c>
      <c r="S20" s="35" t="s">
        <v>166</v>
      </c>
      <c r="T20" s="62"/>
      <c r="U20" s="62">
        <v>2.115E8</v>
      </c>
      <c r="V20" s="55">
        <v>1.75E7</v>
      </c>
      <c r="W20" s="80">
        <v>100.0</v>
      </c>
      <c r="X20" s="1"/>
      <c r="Y20" s="9"/>
      <c r="Z20" s="9"/>
      <c r="AA20" s="9"/>
    </row>
    <row r="21">
      <c r="A21" s="42" t="s">
        <v>105</v>
      </c>
      <c r="B21" s="28"/>
      <c r="C21" s="19"/>
      <c r="D21" s="47"/>
      <c r="E21" s="47"/>
      <c r="F21" s="19"/>
      <c r="G21" s="47"/>
      <c r="H21" s="47"/>
      <c r="I21" s="1"/>
      <c r="J21" s="45" t="s">
        <v>139</v>
      </c>
      <c r="K21" s="44"/>
      <c r="L21" s="34">
        <v>10.3</v>
      </c>
      <c r="M21" s="1"/>
      <c r="P21" s="1"/>
      <c r="Q21" s="17" t="s">
        <v>34</v>
      </c>
      <c r="R21" s="42" t="s">
        <v>140</v>
      </c>
      <c r="S21" s="35" t="s">
        <v>167</v>
      </c>
      <c r="T21" s="62"/>
      <c r="U21" s="62">
        <v>1.429E8</v>
      </c>
      <c r="V21" s="55">
        <v>1.67E7</v>
      </c>
      <c r="W21" s="80">
        <v>97.2</v>
      </c>
      <c r="X21" s="1"/>
      <c r="Y21" s="9"/>
      <c r="Z21" s="9"/>
      <c r="AA21" s="9"/>
    </row>
    <row r="22">
      <c r="A22" s="42" t="s">
        <v>107</v>
      </c>
      <c r="B22" s="56">
        <f>B13-B19-B21</f>
        <v>764107000</v>
      </c>
      <c r="C22" s="19"/>
      <c r="D22" s="47"/>
      <c r="E22" s="47"/>
      <c r="F22" s="19"/>
      <c r="G22" s="47"/>
      <c r="H22" s="47"/>
      <c r="I22" s="1"/>
      <c r="J22" s="45" t="s">
        <v>42</v>
      </c>
      <c r="K22" s="44"/>
      <c r="L22" s="34">
        <v>6.1</v>
      </c>
      <c r="M22" s="1"/>
      <c r="Q22" s="17" t="s">
        <v>34</v>
      </c>
      <c r="R22" s="42" t="s">
        <v>147</v>
      </c>
      <c r="S22" s="35" t="s">
        <v>168</v>
      </c>
      <c r="T22" s="62"/>
      <c r="U22" s="62">
        <v>2.214E8</v>
      </c>
      <c r="V22" s="55">
        <v>1.64E7</v>
      </c>
      <c r="W22" s="80">
        <v>80.4</v>
      </c>
      <c r="X22" s="1"/>
      <c r="Y22" s="9"/>
      <c r="Z22" s="9"/>
      <c r="AA22" s="9"/>
    </row>
    <row r="23">
      <c r="A23" s="9"/>
      <c r="B23" s="9"/>
      <c r="C23" s="19"/>
      <c r="D23" s="47"/>
      <c r="E23" s="47"/>
      <c r="F23" s="19"/>
      <c r="G23" s="47"/>
      <c r="H23" s="47"/>
      <c r="I23" s="1"/>
      <c r="J23" s="33" t="s">
        <v>169</v>
      </c>
      <c r="K23" s="44"/>
      <c r="L23" s="34">
        <v>5.8</v>
      </c>
      <c r="M23" s="1"/>
      <c r="Q23" s="17" t="s">
        <v>34</v>
      </c>
      <c r="R23" s="42" t="s">
        <v>147</v>
      </c>
      <c r="S23" s="35" t="s">
        <v>170</v>
      </c>
      <c r="T23" s="62"/>
      <c r="U23" s="62">
        <v>1.57E8</v>
      </c>
      <c r="V23" s="55">
        <v>1.61E7</v>
      </c>
      <c r="W23" s="80">
        <v>93.8</v>
      </c>
      <c r="X23" s="1"/>
      <c r="Y23" s="9"/>
      <c r="Z23" s="9"/>
      <c r="AA23" s="9"/>
    </row>
    <row r="24">
      <c r="A24" s="9"/>
      <c r="B24" s="9"/>
      <c r="C24" s="19"/>
      <c r="D24" s="47"/>
      <c r="E24" s="47"/>
      <c r="F24" s="19"/>
      <c r="G24" s="47"/>
      <c r="H24" s="47"/>
      <c r="I24" s="1"/>
      <c r="J24" s="32" t="s">
        <v>74</v>
      </c>
      <c r="K24" s="44"/>
      <c r="L24" s="41">
        <v>4.0</v>
      </c>
      <c r="M24" s="1"/>
      <c r="Q24" s="17" t="s">
        <v>34</v>
      </c>
      <c r="R24" s="42" t="s">
        <v>136</v>
      </c>
      <c r="S24" s="35" t="s">
        <v>171</v>
      </c>
      <c r="T24" s="62"/>
      <c r="U24" s="62">
        <v>2.159E8</v>
      </c>
      <c r="V24" s="55">
        <v>1.57E7</v>
      </c>
      <c r="W24" s="80">
        <v>89.3</v>
      </c>
      <c r="X24" s="1"/>
      <c r="Y24" s="9"/>
      <c r="Z24" s="9"/>
      <c r="AA24" s="9"/>
    </row>
    <row r="25">
      <c r="A25" s="9"/>
      <c r="B25" s="9"/>
      <c r="C25" s="19"/>
      <c r="D25" s="47"/>
      <c r="E25" s="47"/>
      <c r="F25" s="19"/>
      <c r="G25" s="47"/>
      <c r="H25" s="47"/>
      <c r="I25" s="1"/>
      <c r="J25" s="32" t="s">
        <v>57</v>
      </c>
      <c r="K25" s="44"/>
      <c r="L25" s="41">
        <v>3.8</v>
      </c>
      <c r="M25" s="1"/>
      <c r="Q25" s="17" t="s">
        <v>34</v>
      </c>
      <c r="R25" s="42" t="s">
        <v>152</v>
      </c>
      <c r="S25" s="35" t="s">
        <v>172</v>
      </c>
      <c r="T25" s="62"/>
      <c r="U25" s="62">
        <v>1.214E8</v>
      </c>
      <c r="V25" s="55">
        <v>1.56E7</v>
      </c>
      <c r="W25" s="80">
        <v>99.6</v>
      </c>
      <c r="X25" s="1"/>
      <c r="Y25" s="9"/>
      <c r="Z25" s="9"/>
      <c r="AA25" s="9"/>
    </row>
    <row r="26">
      <c r="A26" s="1"/>
      <c r="B26" s="57"/>
      <c r="C26" s="19"/>
      <c r="D26" s="47"/>
      <c r="E26" s="47"/>
      <c r="F26" s="19"/>
      <c r="G26" s="47"/>
      <c r="H26" s="47"/>
      <c r="I26" s="1"/>
      <c r="J26" s="32" t="s">
        <v>46</v>
      </c>
      <c r="K26" s="44"/>
      <c r="L26" s="41">
        <v>10.5</v>
      </c>
      <c r="M26" s="1"/>
      <c r="N26" s="9"/>
      <c r="O26" s="9"/>
      <c r="Q26" s="1"/>
      <c r="R26" s="1"/>
      <c r="S26" s="1"/>
      <c r="T26" s="1"/>
      <c r="U26" s="1"/>
      <c r="V26" s="1"/>
      <c r="W26" s="79"/>
      <c r="X26" s="1"/>
      <c r="Y26" s="9"/>
      <c r="Z26" s="9"/>
      <c r="AA26" s="9"/>
    </row>
    <row r="27">
      <c r="A27" s="1"/>
      <c r="B27" s="57"/>
      <c r="C27" s="19"/>
      <c r="D27" s="47"/>
      <c r="E27" s="47"/>
      <c r="F27" s="19"/>
      <c r="G27" s="47"/>
      <c r="H27" s="47"/>
      <c r="I27" s="1"/>
      <c r="J27" s="32"/>
      <c r="K27" s="44"/>
      <c r="L27" s="41"/>
      <c r="M27" s="1"/>
      <c r="N27" s="9"/>
      <c r="O27" s="9"/>
      <c r="P27" s="1"/>
      <c r="Q27" s="58" t="s">
        <v>114</v>
      </c>
      <c r="R27" s="15"/>
      <c r="S27" s="15"/>
      <c r="T27" s="15"/>
      <c r="U27" s="15"/>
      <c r="V27" s="15"/>
      <c r="W27" s="16"/>
      <c r="X27" s="1"/>
      <c r="Y27" s="9"/>
      <c r="Z27" s="9"/>
      <c r="AA27" s="9"/>
    </row>
    <row r="28">
      <c r="A28" s="1"/>
      <c r="B28" s="57"/>
      <c r="C28" s="19"/>
      <c r="D28" s="47"/>
      <c r="E28" s="47"/>
      <c r="F28" s="19"/>
      <c r="G28" s="47"/>
      <c r="H28" s="47"/>
      <c r="I28" s="1"/>
      <c r="J28" s="32"/>
      <c r="K28" s="44"/>
      <c r="L28" s="41"/>
      <c r="M28" s="57"/>
      <c r="N28" s="9"/>
      <c r="O28" s="9"/>
      <c r="P28" s="57"/>
      <c r="Q28" s="59" t="s">
        <v>18</v>
      </c>
      <c r="R28" s="59" t="s">
        <v>19</v>
      </c>
      <c r="S28" s="59"/>
      <c r="T28" s="60" t="s">
        <v>115</v>
      </c>
      <c r="U28" s="60" t="s">
        <v>22</v>
      </c>
      <c r="V28" s="59" t="s">
        <v>23</v>
      </c>
      <c r="W28" s="61" t="s">
        <v>24</v>
      </c>
      <c r="X28" s="1"/>
      <c r="Y28" s="9"/>
      <c r="Z28" s="9"/>
      <c r="AA28" s="9"/>
    </row>
    <row r="29">
      <c r="A29" s="1"/>
      <c r="B29" s="1"/>
      <c r="C29" s="19"/>
      <c r="D29" s="47"/>
      <c r="E29" s="47"/>
      <c r="F29" s="19"/>
      <c r="G29" s="47"/>
      <c r="H29" s="47"/>
      <c r="I29" s="1"/>
      <c r="J29" s="53" t="s">
        <v>90</v>
      </c>
      <c r="K29" s="53"/>
      <c r="L29" s="54">
        <f>SUM(L19:L28)</f>
        <v>100</v>
      </c>
      <c r="M29" s="57"/>
      <c r="N29" s="9"/>
      <c r="O29" s="9"/>
      <c r="P29" s="57"/>
      <c r="Q29" s="42" t="s">
        <v>34</v>
      </c>
      <c r="R29" s="42" t="s">
        <v>136</v>
      </c>
      <c r="S29" s="28"/>
      <c r="T29" s="28">
        <v>21.0</v>
      </c>
      <c r="U29" s="62">
        <v>4.1669E9</v>
      </c>
      <c r="V29" s="55">
        <v>2.978E8</v>
      </c>
      <c r="W29" s="80">
        <v>79.0</v>
      </c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4">
        <f>SUM(E6:E29)</f>
        <v>1523046000</v>
      </c>
      <c r="F30" s="19"/>
      <c r="G30" s="19" t="s">
        <v>90</v>
      </c>
      <c r="H30" s="64">
        <f>SUM(H6:H29)</f>
        <v>-98582000</v>
      </c>
      <c r="I30" s="1"/>
      <c r="J30" s="1"/>
      <c r="K30" s="1"/>
      <c r="L30" s="1"/>
      <c r="M30" s="57"/>
      <c r="N30" s="9"/>
      <c r="O30" s="9"/>
      <c r="P30" s="57"/>
      <c r="Q30" s="42" t="s">
        <v>34</v>
      </c>
      <c r="R30" s="42" t="s">
        <v>147</v>
      </c>
      <c r="S30" s="28"/>
      <c r="T30" s="28">
        <v>7.0</v>
      </c>
      <c r="U30" s="62">
        <v>1.3003E9</v>
      </c>
      <c r="V30" s="28">
        <v>1.257E8</v>
      </c>
      <c r="W30" s="80">
        <v>86.0</v>
      </c>
      <c r="X30" s="1"/>
      <c r="Y30" s="9"/>
      <c r="Z30" s="9"/>
      <c r="AA30" s="9"/>
    </row>
    <row r="31">
      <c r="A31" s="1"/>
      <c r="B31" s="1"/>
      <c r="C31" s="19"/>
      <c r="D31" s="65" t="s">
        <v>116</v>
      </c>
      <c r="E31" s="66" t="str">
        <f>IF(B5=E30, "True", "False")</f>
        <v>True</v>
      </c>
      <c r="F31" s="19"/>
      <c r="G31" s="65" t="s">
        <v>116</v>
      </c>
      <c r="H31" s="66" t="str">
        <f>IF(B8=H30, "True", "False")</f>
        <v>True</v>
      </c>
      <c r="I31" s="1"/>
      <c r="J31" s="1"/>
      <c r="K31" s="1"/>
      <c r="L31" s="1"/>
      <c r="M31" s="57"/>
      <c r="N31" s="9"/>
      <c r="O31" s="9"/>
      <c r="P31" s="57"/>
      <c r="Q31" s="42" t="s">
        <v>34</v>
      </c>
      <c r="R31" s="42" t="s">
        <v>140</v>
      </c>
      <c r="S31" s="28"/>
      <c r="T31" s="28">
        <v>42.0</v>
      </c>
      <c r="U31" s="62">
        <v>3.4122E9</v>
      </c>
      <c r="V31" s="28">
        <v>3.408E8</v>
      </c>
      <c r="W31" s="80">
        <v>94.0</v>
      </c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7"/>
      <c r="N32" s="9"/>
      <c r="O32" s="9"/>
      <c r="P32" s="9"/>
      <c r="Q32" s="42" t="s">
        <v>34</v>
      </c>
      <c r="R32" s="42" t="s">
        <v>157</v>
      </c>
      <c r="S32" s="28"/>
      <c r="T32" s="28">
        <v>3.0</v>
      </c>
      <c r="U32" s="62">
        <v>5.587E8</v>
      </c>
      <c r="V32" s="28">
        <v>4.8E7</v>
      </c>
      <c r="W32" s="80">
        <v>99.9</v>
      </c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42" t="s">
        <v>34</v>
      </c>
      <c r="R33" s="42" t="s">
        <v>152</v>
      </c>
      <c r="S33" s="28"/>
      <c r="T33" s="28">
        <v>21.0</v>
      </c>
      <c r="U33" s="62">
        <v>1.5599E9</v>
      </c>
      <c r="V33" s="28">
        <v>1.668E8</v>
      </c>
      <c r="W33" s="80">
        <v>96.4</v>
      </c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42" t="s">
        <v>117</v>
      </c>
      <c r="R34" s="42" t="s">
        <v>152</v>
      </c>
      <c r="S34" s="28"/>
      <c r="T34" s="28">
        <v>26.0</v>
      </c>
      <c r="U34" s="62">
        <v>1.4218E9</v>
      </c>
      <c r="V34" s="28">
        <v>7.89E7</v>
      </c>
      <c r="W34" s="80">
        <v>95.7</v>
      </c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42" t="s">
        <v>173</v>
      </c>
      <c r="R35" s="42" t="s">
        <v>136</v>
      </c>
      <c r="S35" s="28"/>
      <c r="T35" s="28">
        <v>11.0</v>
      </c>
      <c r="U35" s="62">
        <v>1.206E8</v>
      </c>
      <c r="V35" s="28">
        <v>1.59E7</v>
      </c>
      <c r="W35" s="80">
        <v>70.9</v>
      </c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67"/>
      <c r="P36" s="9"/>
      <c r="Q36" s="42" t="s">
        <v>173</v>
      </c>
      <c r="R36" s="42" t="s">
        <v>152</v>
      </c>
      <c r="S36" s="28"/>
      <c r="T36" s="28">
        <v>3.0</v>
      </c>
      <c r="U36" s="68">
        <v>4.29E7</v>
      </c>
      <c r="V36" s="28">
        <v>4400000.0</v>
      </c>
      <c r="W36" s="80">
        <v>100.0</v>
      </c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 t="s">
        <v>119</v>
      </c>
      <c r="O37" s="42"/>
      <c r="P37" s="1"/>
      <c r="Q37" s="42" t="s">
        <v>174</v>
      </c>
      <c r="R37" s="42" t="s">
        <v>152</v>
      </c>
      <c r="S37" s="28"/>
      <c r="T37" s="28">
        <v>10.0</v>
      </c>
      <c r="U37" s="68">
        <v>2.511E8</v>
      </c>
      <c r="V37" s="28">
        <v>1.83E7</v>
      </c>
      <c r="W37" s="80">
        <v>100.0</v>
      </c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 t="s">
        <v>120</v>
      </c>
      <c r="O38" s="42"/>
      <c r="P38" s="1"/>
      <c r="Q38" s="42" t="s">
        <v>174</v>
      </c>
      <c r="R38" s="42" t="s">
        <v>157</v>
      </c>
      <c r="S38" s="28"/>
      <c r="T38" s="28">
        <v>1.0</v>
      </c>
      <c r="U38" s="62">
        <v>2.44E7</v>
      </c>
      <c r="V38" s="28">
        <v>7100000.0</v>
      </c>
      <c r="W38" s="80">
        <v>100.0</v>
      </c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 t="s">
        <v>121</v>
      </c>
      <c r="O39" s="17"/>
      <c r="P39" s="1"/>
      <c r="Q39" s="42" t="s">
        <v>175</v>
      </c>
      <c r="R39" s="42" t="s">
        <v>157</v>
      </c>
      <c r="S39" s="28"/>
      <c r="T39" s="28">
        <v>3.0</v>
      </c>
      <c r="U39" s="62">
        <v>1.552E8</v>
      </c>
      <c r="V39" s="28">
        <v>8300000.0</v>
      </c>
      <c r="W39" s="80">
        <v>100.0</v>
      </c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 t="s">
        <v>122</v>
      </c>
      <c r="O40" s="28">
        <f>106961000+108231000</f>
        <v>215192000</v>
      </c>
      <c r="P40" s="8"/>
      <c r="Q40" s="42"/>
      <c r="R40" s="42"/>
      <c r="S40" s="28"/>
      <c r="T40" s="62"/>
      <c r="U40" s="62"/>
      <c r="V40" s="28"/>
      <c r="W40" s="63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9" t="s">
        <v>90</v>
      </c>
      <c r="T41" s="70">
        <f t="shared" ref="T41:V41" si="1">sum(T29:T40)</f>
        <v>148</v>
      </c>
      <c r="U41" s="70">
        <f t="shared" si="1"/>
        <v>13014000000</v>
      </c>
      <c r="V41" s="70">
        <f t="shared" si="1"/>
        <v>1112000000</v>
      </c>
      <c r="W41" s="4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"/>
      <c r="O42" s="8" t="s">
        <v>123</v>
      </c>
      <c r="P42" s="1"/>
      <c r="R42" s="1"/>
      <c r="S42" s="1"/>
      <c r="T42" s="1"/>
      <c r="U42" s="1"/>
      <c r="V42" s="1"/>
      <c r="W42" s="79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71" t="s">
        <v>124</v>
      </c>
      <c r="O43" s="72">
        <v>4.395569E9</v>
      </c>
      <c r="P43" s="1"/>
      <c r="R43" s="1"/>
      <c r="S43" s="1"/>
      <c r="T43" s="1"/>
      <c r="U43" s="1"/>
      <c r="V43" s="1"/>
      <c r="W43" s="79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73" t="s">
        <v>125</v>
      </c>
      <c r="O44" s="72">
        <v>4.395569E9</v>
      </c>
      <c r="P44" s="1"/>
      <c r="R44" s="1"/>
      <c r="S44" s="1"/>
      <c r="T44" s="1"/>
      <c r="U44" s="1"/>
      <c r="V44" s="1"/>
      <c r="W44" s="79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4" t="s">
        <v>126</v>
      </c>
      <c r="O45" s="75">
        <f>668833000+327300000</f>
        <v>996133000</v>
      </c>
      <c r="P45" s="1"/>
      <c r="R45" s="1"/>
      <c r="S45" s="1"/>
      <c r="T45" s="1"/>
      <c r="U45" s="1"/>
      <c r="V45" s="1"/>
      <c r="W45" s="79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6" t="s">
        <v>127</v>
      </c>
      <c r="O46" s="75">
        <v>6.68833E8</v>
      </c>
      <c r="P46" s="1"/>
      <c r="R46" s="1"/>
      <c r="S46" s="1"/>
      <c r="T46" s="1"/>
      <c r="U46" s="1"/>
      <c r="V46" s="1"/>
      <c r="W46" s="79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6" t="s">
        <v>128</v>
      </c>
      <c r="O47" s="75">
        <v>6.57757E8</v>
      </c>
      <c r="P47" s="1"/>
      <c r="R47" s="1"/>
      <c r="S47" s="1"/>
      <c r="T47" s="1"/>
      <c r="U47" s="1"/>
      <c r="V47" s="1"/>
      <c r="W47" s="79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7" t="s">
        <v>129</v>
      </c>
      <c r="O48" s="75">
        <v>3.38376E8</v>
      </c>
      <c r="P48" s="1"/>
      <c r="R48" s="1"/>
      <c r="S48" s="1"/>
      <c r="T48" s="1"/>
      <c r="U48" s="1"/>
      <c r="V48" s="1"/>
      <c r="W48" s="79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130</v>
      </c>
      <c r="O49" s="83">
        <v>4.400309E9</v>
      </c>
      <c r="R49" s="1"/>
      <c r="S49" s="1"/>
      <c r="T49" s="1"/>
      <c r="U49" s="1"/>
      <c r="V49" s="1"/>
      <c r="W49" s="79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N50" s="77" t="s">
        <v>131</v>
      </c>
      <c r="O50" s="78">
        <f>575000+222000</f>
        <v>797000</v>
      </c>
      <c r="R50" s="1"/>
      <c r="S50" s="1"/>
      <c r="T50" s="1"/>
      <c r="U50" s="1"/>
      <c r="V50" s="1"/>
      <c r="W50" s="79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R51" s="1"/>
      <c r="S51" s="1"/>
      <c r="T51" s="1"/>
      <c r="U51" s="1"/>
      <c r="V51" s="1"/>
      <c r="W51" s="79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R52" s="1"/>
      <c r="S52" s="1"/>
      <c r="T52" s="1"/>
      <c r="U52" s="1"/>
      <c r="V52" s="1"/>
      <c r="W52" s="79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R53" s="1"/>
      <c r="S53" s="1"/>
      <c r="T53" s="1"/>
      <c r="U53" s="1"/>
      <c r="V53" s="1"/>
      <c r="W53" s="79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R54" s="1"/>
      <c r="S54" s="1"/>
      <c r="T54" s="1"/>
      <c r="U54" s="1"/>
      <c r="V54" s="1"/>
      <c r="W54" s="79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R55" s="1"/>
      <c r="S55" s="1"/>
      <c r="T55" s="1"/>
      <c r="U55" s="1"/>
      <c r="V55" s="1"/>
      <c r="W55" s="79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R56" s="1"/>
      <c r="S56" s="1"/>
      <c r="T56" s="1"/>
      <c r="U56" s="1"/>
      <c r="V56" s="1"/>
      <c r="W56" s="79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R57" s="1"/>
      <c r="S57" s="1"/>
      <c r="T57" s="1"/>
      <c r="U57" s="1"/>
      <c r="V57" s="1"/>
      <c r="W57" s="79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R58" s="1"/>
      <c r="S58" s="1"/>
      <c r="T58" s="1"/>
      <c r="U58" s="1"/>
      <c r="V58" s="1"/>
      <c r="W58" s="79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R59" s="1"/>
      <c r="S59" s="1"/>
      <c r="T59" s="1"/>
      <c r="U59" s="1"/>
      <c r="V59" s="1"/>
      <c r="W59" s="79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R60" s="1"/>
      <c r="S60" s="1"/>
      <c r="T60" s="1"/>
      <c r="U60" s="1"/>
      <c r="V60" s="1"/>
      <c r="W60" s="79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R61" s="1"/>
      <c r="S61" s="1"/>
      <c r="T61" s="1"/>
      <c r="U61" s="1"/>
      <c r="V61" s="1"/>
      <c r="W61" s="79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R62" s="1"/>
      <c r="S62" s="1"/>
      <c r="T62" s="1"/>
      <c r="U62" s="1"/>
      <c r="V62" s="1"/>
      <c r="W62" s="79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R63" s="1"/>
      <c r="S63" s="1"/>
      <c r="T63" s="1"/>
      <c r="U63" s="1"/>
      <c r="V63" s="1"/>
      <c r="W63" s="79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R64" s="1"/>
      <c r="S64" s="1"/>
      <c r="T64" s="1"/>
      <c r="U64" s="1"/>
      <c r="V64" s="1"/>
      <c r="W64" s="79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R65" s="1"/>
      <c r="S65" s="1"/>
      <c r="T65" s="1"/>
      <c r="U65" s="1"/>
      <c r="V65" s="1"/>
      <c r="W65" s="79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R66" s="1"/>
      <c r="S66" s="1"/>
      <c r="T66" s="1"/>
      <c r="U66" s="1"/>
      <c r="V66" s="1"/>
      <c r="W66" s="79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Q67" s="1"/>
      <c r="R67" s="1"/>
      <c r="S67" s="1"/>
      <c r="T67" s="1"/>
      <c r="U67" s="1"/>
      <c r="V67" s="1"/>
      <c r="W67" s="79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Q68" s="1"/>
      <c r="R68" s="1"/>
      <c r="S68" s="1"/>
      <c r="T68" s="1"/>
      <c r="U68" s="1"/>
      <c r="V68" s="1"/>
      <c r="W68" s="79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Q69" s="1"/>
      <c r="R69" s="1"/>
      <c r="S69" s="1"/>
      <c r="T69" s="1"/>
      <c r="U69" s="1"/>
      <c r="V69" s="1"/>
      <c r="W69" s="79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Q70" s="1"/>
      <c r="R70" s="1"/>
      <c r="S70" s="1"/>
      <c r="T70" s="1"/>
      <c r="U70" s="1"/>
      <c r="V70" s="1"/>
      <c r="W70" s="79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Q71" s="1"/>
      <c r="R71" s="1"/>
      <c r="S71" s="1"/>
      <c r="T71" s="1"/>
      <c r="U71" s="1"/>
      <c r="V71" s="1"/>
      <c r="W71" s="79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Q72" s="1"/>
      <c r="R72" s="1"/>
      <c r="S72" s="1"/>
      <c r="T72" s="1"/>
      <c r="U72" s="1"/>
      <c r="V72" s="1"/>
      <c r="W72" s="79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Q73" s="1"/>
      <c r="R73" s="1"/>
      <c r="S73" s="1"/>
      <c r="T73" s="1"/>
      <c r="U73" s="1"/>
      <c r="V73" s="1"/>
      <c r="W73" s="79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Q74" s="1"/>
      <c r="R74" s="1"/>
      <c r="S74" s="1"/>
      <c r="T74" s="1"/>
      <c r="U74" s="1"/>
      <c r="V74" s="1"/>
      <c r="W74" s="79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Q75" s="1"/>
      <c r="R75" s="1"/>
      <c r="S75" s="1"/>
      <c r="T75" s="1"/>
      <c r="U75" s="1"/>
      <c r="V75" s="1"/>
      <c r="W75" s="79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Q76" s="1"/>
      <c r="R76" s="1"/>
      <c r="S76" s="1"/>
      <c r="T76" s="1"/>
      <c r="U76" s="1"/>
      <c r="V76" s="1"/>
      <c r="W76" s="79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Q77" s="1"/>
      <c r="R77" s="1"/>
      <c r="S77" s="1"/>
      <c r="T77" s="1"/>
      <c r="U77" s="1"/>
      <c r="V77" s="1"/>
      <c r="W77" s="79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Q78" s="1"/>
      <c r="R78" s="1"/>
      <c r="S78" s="1"/>
      <c r="T78" s="1"/>
      <c r="U78" s="1"/>
      <c r="V78" s="1"/>
      <c r="W78" s="79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Q79" s="1"/>
      <c r="R79" s="1"/>
      <c r="S79" s="1"/>
      <c r="T79" s="1"/>
      <c r="U79" s="1"/>
      <c r="V79" s="1"/>
      <c r="W79" s="79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Q80" s="1"/>
      <c r="R80" s="1"/>
      <c r="S80" s="1"/>
      <c r="T80" s="1"/>
      <c r="U80" s="1"/>
      <c r="V80" s="1"/>
      <c r="W80" s="79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Q81" s="1"/>
      <c r="R81" s="1"/>
      <c r="S81" s="1"/>
      <c r="T81" s="1"/>
      <c r="U81" s="1"/>
      <c r="V81" s="1"/>
      <c r="W81" s="79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Q82" s="1"/>
      <c r="R82" s="1"/>
      <c r="S82" s="1"/>
      <c r="T82" s="1"/>
      <c r="U82" s="1"/>
      <c r="V82" s="1"/>
      <c r="W82" s="79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Q83" s="1"/>
      <c r="R83" s="1"/>
      <c r="S83" s="1"/>
      <c r="T83" s="1"/>
      <c r="U83" s="1"/>
      <c r="V83" s="1"/>
      <c r="W83" s="79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Q84" s="1"/>
      <c r="R84" s="1"/>
      <c r="S84" s="1"/>
      <c r="T84" s="1"/>
      <c r="U84" s="1"/>
      <c r="V84" s="1"/>
      <c r="W84" s="79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Q85" s="1"/>
      <c r="R85" s="1"/>
      <c r="S85" s="1"/>
      <c r="T85" s="1"/>
      <c r="U85" s="1"/>
      <c r="V85" s="1"/>
      <c r="W85" s="79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Q86" s="1"/>
      <c r="R86" s="1"/>
      <c r="S86" s="1"/>
      <c r="T86" s="1"/>
      <c r="U86" s="1"/>
      <c r="V86" s="1"/>
      <c r="W86" s="79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Q87" s="1"/>
      <c r="R87" s="1"/>
      <c r="S87" s="1"/>
      <c r="T87" s="1"/>
      <c r="U87" s="1"/>
      <c r="V87" s="1"/>
      <c r="W87" s="79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79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79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79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79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79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79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79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79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79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79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79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79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79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79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9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9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79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9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79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79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79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79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9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9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9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9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9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9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9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9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9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9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9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9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9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9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9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9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9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9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9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9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9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9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9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9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9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9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9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9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9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9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9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9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9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9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9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9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9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79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79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79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79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79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79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79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79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79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79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79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79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79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79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79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79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79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79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79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79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79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79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79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79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79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79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79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79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79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79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79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79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79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79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79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79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79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79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79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79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79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79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79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79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79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79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79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79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79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79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79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79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79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79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79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79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79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79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79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79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79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79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79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79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79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79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79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79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79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79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79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79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79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79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79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79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79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79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79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79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79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79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79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79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79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79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79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79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79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79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79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79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79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79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79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79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79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79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79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79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79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79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79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79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79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79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79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79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79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79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79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79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79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79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79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79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79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79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79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79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79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79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79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79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79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79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79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79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79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79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79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79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79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79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79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79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79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79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79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79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79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79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79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79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79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79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79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79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79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79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79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79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79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79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79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79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79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79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79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79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79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79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79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79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79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79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79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79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79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79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79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79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79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79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79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79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79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79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79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79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79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79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79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79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79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79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79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79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79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79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79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79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79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79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79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79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79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79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79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79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79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79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79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79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79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79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79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79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79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79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79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9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9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9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9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79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79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79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79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9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79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79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79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79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79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79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79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79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79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79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79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79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79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79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79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79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79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79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79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79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79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79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79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79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79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79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79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79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79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79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79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79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79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79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79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79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79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79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79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79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79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79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79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79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79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79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79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79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79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79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79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79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79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79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79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79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79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79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79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79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79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79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79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79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79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79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79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79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79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79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79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79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79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79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79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79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79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79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79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79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79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79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79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79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79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79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79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79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79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79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79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79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79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79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79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79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79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79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79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79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79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79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79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79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79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79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79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79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79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79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79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79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79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79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79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79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79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79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79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79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79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79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79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79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79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79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79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79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79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79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79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79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79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79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79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79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79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79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79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79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79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79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79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79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79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79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79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79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79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79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79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79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79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79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79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79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79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79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79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79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79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79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79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79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79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79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79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79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79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79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79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79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79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79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79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79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79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79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79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79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79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79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79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79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79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79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79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79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79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79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79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79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79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79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79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79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79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79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79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79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79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79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79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79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79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79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79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79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79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79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79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79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79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79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79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79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79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79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79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79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79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79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79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79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79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79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79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79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79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79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79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79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79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79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79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79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79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79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79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79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79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79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79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79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79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79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79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79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79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79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79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79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79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79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79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79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79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79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79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79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79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79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79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79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79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79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79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79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79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79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79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79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79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79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79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79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79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79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79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79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79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79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79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79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79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79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79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79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79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79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79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79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79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79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79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79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79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79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79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79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79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79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79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79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79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79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79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79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79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79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79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79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79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79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79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79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79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79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79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79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79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79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79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79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79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79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79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79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79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79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79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79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79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79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79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79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79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79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79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79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79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79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79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79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79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79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79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79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79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79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79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79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79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79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79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79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79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79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79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79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79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79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79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79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79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79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79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79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79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79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79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79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79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79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79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79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79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79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79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79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79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79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79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79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79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79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79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79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79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79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79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79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79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79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79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79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79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79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79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79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79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79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79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79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79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79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79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79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79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79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79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79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79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79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79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79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79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79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79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79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79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79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79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79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79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79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79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79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79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79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79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79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79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79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79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79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79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79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79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79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79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79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79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79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79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79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79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79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79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79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79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79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79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79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79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79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79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79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79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79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79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79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79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79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79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79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79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79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79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79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79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79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79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79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79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79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79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79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79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79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79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79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79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79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79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79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79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79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79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79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79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79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79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79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79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79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79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79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79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79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79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79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79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79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79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79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79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79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79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79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79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79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79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79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79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79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79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79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79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79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79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79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79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79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79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79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79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79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79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79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79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79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79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79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79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79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79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79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79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79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79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79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79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79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79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79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79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79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79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79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79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79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79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79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79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79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79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79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79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79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79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79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79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79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79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79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79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79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79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79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79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79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79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79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79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79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79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79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79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79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79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79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79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79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79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79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79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79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79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79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79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79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79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79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79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79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79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79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79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79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79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79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"/>
      <c r="U969" s="1"/>
      <c r="V969" s="1"/>
      <c r="W969" s="79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"/>
      <c r="U970" s="1"/>
      <c r="V970" s="1"/>
      <c r="W970" s="79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"/>
      <c r="U971" s="1"/>
      <c r="V971" s="1"/>
      <c r="W971" s="79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"/>
      <c r="U972" s="1"/>
      <c r="V972" s="1"/>
      <c r="W972" s="79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"/>
      <c r="U973" s="1"/>
      <c r="V973" s="1"/>
      <c r="W973" s="79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Q974" s="1"/>
      <c r="R974" s="1"/>
      <c r="S974" s="1"/>
      <c r="T974" s="1"/>
      <c r="U974" s="1"/>
      <c r="V974" s="1"/>
      <c r="W974" s="79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X995" s="1"/>
      <c r="Y995" s="1"/>
      <c r="Z995" s="1"/>
      <c r="AA995" s="1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Q40">
      <formula1>"Australia,Germany,Singapore"</formula1>
    </dataValidation>
    <dataValidation type="list" allowBlank="1" showErrorMessage="1" sqref="F6:F10">
      <formula1>"Sales &amp; Marketing,General &amp; Admin,R&amp;D,Salaries &amp; Benefits,Other expenses"</formula1>
    </dataValidation>
    <dataValidation type="list" allowBlank="1" showErrorMessage="1" sqref="Q6:Q25 Q29:Q39">
      <formula1>"Australia,Germany,Singapore,United States,United Kingdom,France"</formula1>
    </dataValidation>
    <dataValidation type="list" allowBlank="1" showErrorMessage="1" sqref="C6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6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C7:C8">
      <formula1>"Product Sales,Product Rental,Non-product rental/lease income,Service and Maintenance income,Other income"</formula1>
    </dataValidation>
    <dataValidation type="list" allowBlank="1" showErrorMessage="1" sqref="R40">
      <formula1>"Integrated Development,Office,Retail"</formula1>
    </dataValidation>
    <dataValidation type="list" allowBlank="1" showErrorMessage="1" sqref="R6:R25 R29:R39">
      <formula1>"Business Space, Life Sciences,Industrial,Logistics,Data Centers"</formula1>
    </dataValidation>
    <dataValidation type="list" allowBlank="1" showErrorMessage="1" sqref="C9:C10">
      <formula1>"Product Sales,Product Manufacturing,Product Rental,Logistics &amp; Deliveries,Service and Maintenance income,Non-product rental/lease income,Other income,Adjustments and elimination"</formula1>
    </dataValidation>
  </dataValidations>
  <hyperlinks>
    <hyperlink r:id="rId1" ref="B1"/>
    <hyperlink r:id="rId2" ref="B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0.38"/>
    <col customWidth="1" min="18" max="18" width="18.38"/>
    <col customWidth="1" min="19" max="19" width="48.38"/>
    <col customWidth="1" min="20" max="20" width="8.88"/>
    <col customWidth="1" min="21" max="21" width="18.75"/>
    <col customWidth="1" min="22" max="22" width="16.13"/>
    <col customWidth="1" min="23" max="23" width="16.88"/>
    <col customWidth="1" min="24" max="27" width="26.5"/>
  </cols>
  <sheetData>
    <row r="1">
      <c r="A1" s="1" t="s">
        <v>0</v>
      </c>
      <c r="B1" s="2" t="s">
        <v>176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79"/>
      <c r="X1" s="1"/>
      <c r="Y1" s="1"/>
      <c r="Z1" s="1"/>
      <c r="AA1" s="1"/>
    </row>
    <row r="2">
      <c r="A2" s="1" t="s">
        <v>2</v>
      </c>
      <c r="B2" s="5" t="s">
        <v>177</v>
      </c>
      <c r="C2" s="1"/>
      <c r="D2" s="6" t="s">
        <v>4</v>
      </c>
      <c r="E2" s="84">
        <v>45747.0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79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1"/>
      <c r="W3" s="79"/>
      <c r="X3" s="1"/>
      <c r="Y3" s="9"/>
      <c r="Z3" s="9"/>
      <c r="AA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9.08841E8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2.02893E8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/>
      <c r="AA5" s="9"/>
    </row>
    <row r="6">
      <c r="A6" s="17" t="s">
        <v>26</v>
      </c>
      <c r="B6" s="18">
        <v>-2.25304E8</v>
      </c>
      <c r="C6" s="19" t="s">
        <v>27</v>
      </c>
      <c r="D6" s="28" t="s">
        <v>134</v>
      </c>
      <c r="E6" s="29">
        <v>8.19556E8</v>
      </c>
      <c r="F6" s="30" t="s">
        <v>29</v>
      </c>
      <c r="G6" s="31" t="s">
        <v>30</v>
      </c>
      <c r="H6" s="18">
        <v>-4.5002E7</v>
      </c>
      <c r="I6" s="8"/>
      <c r="J6" s="32" t="s">
        <v>178</v>
      </c>
      <c r="K6" s="32" t="s">
        <v>112</v>
      </c>
      <c r="L6" s="34">
        <v>5.9</v>
      </c>
      <c r="M6" s="1"/>
      <c r="N6" s="22" t="s">
        <v>33</v>
      </c>
      <c r="O6" s="23">
        <v>1.5938714E10</v>
      </c>
      <c r="P6" s="1"/>
      <c r="Q6" s="42" t="s">
        <v>34</v>
      </c>
      <c r="R6" s="42" t="s">
        <v>65</v>
      </c>
      <c r="S6" s="28" t="s">
        <v>179</v>
      </c>
      <c r="T6" s="62"/>
      <c r="U6" s="62">
        <v>3.855E9</v>
      </c>
      <c r="V6" s="28">
        <v>2.42194E8</v>
      </c>
      <c r="W6" s="85">
        <v>95.9</v>
      </c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683537000</v>
      </c>
      <c r="C7" s="30" t="s">
        <v>27</v>
      </c>
      <c r="D7" s="32" t="s">
        <v>39</v>
      </c>
      <c r="E7" s="18">
        <v>2.516E7</v>
      </c>
      <c r="F7" s="30" t="s">
        <v>29</v>
      </c>
      <c r="G7" s="31" t="s">
        <v>49</v>
      </c>
      <c r="H7" s="31">
        <v>-1761000.0</v>
      </c>
      <c r="I7" s="1"/>
      <c r="J7" s="32" t="s">
        <v>180</v>
      </c>
      <c r="K7" s="32" t="s">
        <v>181</v>
      </c>
      <c r="L7" s="41">
        <v>3.6</v>
      </c>
      <c r="M7" s="1"/>
      <c r="N7" s="42" t="s">
        <v>43</v>
      </c>
      <c r="O7" s="43">
        <f>sum(O5:O6)</f>
        <v>16141607000</v>
      </c>
      <c r="P7" s="1"/>
      <c r="Q7" s="42" t="s">
        <v>34</v>
      </c>
      <c r="R7" s="42" t="s">
        <v>136</v>
      </c>
      <c r="S7" s="28" t="s">
        <v>182</v>
      </c>
      <c r="T7" s="62"/>
      <c r="U7" s="62">
        <v>2.35E9</v>
      </c>
      <c r="V7" s="28">
        <v>1.316E8</v>
      </c>
      <c r="W7" s="85">
        <v>91.0</v>
      </c>
      <c r="X7" s="1"/>
      <c r="Y7" s="17" t="s">
        <v>46</v>
      </c>
      <c r="Z7" s="28"/>
      <c r="AA7" s="9"/>
    </row>
    <row r="8">
      <c r="A8" s="17" t="s">
        <v>47</v>
      </c>
      <c r="B8" s="18">
        <v>-5.0285E7</v>
      </c>
      <c r="C8" s="19" t="s">
        <v>27</v>
      </c>
      <c r="D8" s="32" t="s">
        <v>46</v>
      </c>
      <c r="E8" s="18">
        <v>6.4125E7</v>
      </c>
      <c r="F8" s="30" t="s">
        <v>29</v>
      </c>
      <c r="G8" s="31" t="s">
        <v>183</v>
      </c>
      <c r="H8" s="31">
        <v>-3522000.0</v>
      </c>
      <c r="I8" s="1"/>
      <c r="J8" s="45" t="s">
        <v>184</v>
      </c>
      <c r="K8" s="45" t="s">
        <v>42</v>
      </c>
      <c r="L8" s="34">
        <v>2.2</v>
      </c>
      <c r="M8" s="1"/>
      <c r="N8" s="42" t="s">
        <v>51</v>
      </c>
      <c r="O8" s="23">
        <v>6.84535E8</v>
      </c>
      <c r="P8" s="1"/>
      <c r="Q8" s="42" t="s">
        <v>34</v>
      </c>
      <c r="R8" s="42" t="s">
        <v>136</v>
      </c>
      <c r="S8" s="28" t="s">
        <v>185</v>
      </c>
      <c r="T8" s="62"/>
      <c r="U8" s="62">
        <v>7.94E8</v>
      </c>
      <c r="V8" s="28">
        <v>5.0172E7</v>
      </c>
      <c r="W8" s="85">
        <v>97.1</v>
      </c>
      <c r="X8" s="1"/>
      <c r="Y8" s="17" t="s">
        <v>53</v>
      </c>
      <c r="Z8" s="46">
        <f>sum(Z5:Z7)</f>
        <v>0</v>
      </c>
      <c r="AA8" s="9"/>
    </row>
    <row r="9">
      <c r="A9" s="17" t="s">
        <v>54</v>
      </c>
      <c r="B9" s="40">
        <f>sum(B7:B8)</f>
        <v>633252000</v>
      </c>
      <c r="C9" s="19"/>
      <c r="D9" s="44"/>
      <c r="E9" s="47"/>
      <c r="F9" s="19"/>
      <c r="G9" s="31"/>
      <c r="H9" s="31"/>
      <c r="I9" s="1"/>
      <c r="J9" s="33" t="s">
        <v>186</v>
      </c>
      <c r="K9" s="32" t="s">
        <v>112</v>
      </c>
      <c r="L9" s="34">
        <v>1.9</v>
      </c>
      <c r="M9" s="1"/>
      <c r="N9" s="42" t="s">
        <v>58</v>
      </c>
      <c r="O9" s="23">
        <v>5.832529E9</v>
      </c>
      <c r="P9" s="1"/>
      <c r="Q9" s="42" t="s">
        <v>34</v>
      </c>
      <c r="R9" s="42" t="s">
        <v>44</v>
      </c>
      <c r="S9" s="28" t="s">
        <v>187</v>
      </c>
      <c r="T9" s="62"/>
      <c r="U9" s="62">
        <v>3500000.0</v>
      </c>
      <c r="V9" s="28">
        <v>2.0621E7</v>
      </c>
      <c r="W9" s="85">
        <v>100.0</v>
      </c>
      <c r="X9" s="1"/>
      <c r="Y9" s="9"/>
      <c r="Z9" s="9"/>
      <c r="AA9" s="9"/>
    </row>
    <row r="10">
      <c r="A10" s="17" t="s">
        <v>60</v>
      </c>
      <c r="B10" s="18">
        <f>2061000-220443000+781000-1340000+154019000+4006000+8852000</f>
        <v>-52064000</v>
      </c>
      <c r="C10" s="19"/>
      <c r="D10" s="47"/>
      <c r="E10" s="47"/>
      <c r="F10" s="48"/>
      <c r="G10" s="49"/>
      <c r="H10" s="31"/>
      <c r="I10" s="1"/>
      <c r="J10" s="32" t="s">
        <v>188</v>
      </c>
      <c r="K10" s="32" t="s">
        <v>112</v>
      </c>
      <c r="L10" s="41">
        <v>1.8</v>
      </c>
      <c r="M10" s="1"/>
      <c r="N10" s="42" t="s">
        <v>64</v>
      </c>
      <c r="O10" s="43">
        <f>sum(O8:O9)</f>
        <v>6517064000</v>
      </c>
      <c r="P10" s="1"/>
      <c r="Q10" s="42" t="s">
        <v>34</v>
      </c>
      <c r="R10" s="42" t="s">
        <v>136</v>
      </c>
      <c r="S10" s="28" t="s">
        <v>189</v>
      </c>
      <c r="T10" s="62"/>
      <c r="U10" s="62">
        <v>1.664E9</v>
      </c>
      <c r="V10" s="28">
        <v>9.8288E7</v>
      </c>
      <c r="W10" s="85">
        <v>90.6</v>
      </c>
      <c r="X10" s="1"/>
      <c r="Y10" s="9"/>
      <c r="Z10" s="9"/>
      <c r="AA10" s="9"/>
    </row>
    <row r="11">
      <c r="A11" s="17" t="s">
        <v>67</v>
      </c>
      <c r="B11" s="40">
        <f>sum(B9:B10)</f>
        <v>581188000</v>
      </c>
      <c r="C11" s="19"/>
      <c r="D11" s="47"/>
      <c r="E11" s="47"/>
      <c r="F11" s="19"/>
      <c r="G11" s="31"/>
      <c r="H11" s="31"/>
      <c r="I11" s="1"/>
      <c r="J11" s="32" t="s">
        <v>190</v>
      </c>
      <c r="K11" s="32" t="s">
        <v>74</v>
      </c>
      <c r="L11" s="41">
        <v>1.7</v>
      </c>
      <c r="M11" s="9"/>
      <c r="N11" s="42" t="s">
        <v>70</v>
      </c>
      <c r="O11" s="43">
        <f>O7-O10</f>
        <v>9624543000</v>
      </c>
      <c r="P11" s="9"/>
      <c r="Q11" s="42" t="s">
        <v>191</v>
      </c>
      <c r="R11" s="42" t="s">
        <v>136</v>
      </c>
      <c r="S11" s="28" t="s">
        <v>192</v>
      </c>
      <c r="T11" s="62"/>
      <c r="U11" s="62">
        <v>4.086421E9</v>
      </c>
      <c r="V11" s="28">
        <v>1.99754E8</v>
      </c>
      <c r="W11" s="85">
        <v>96.7</v>
      </c>
      <c r="X11" s="1"/>
      <c r="Y11" s="9"/>
      <c r="Z11" s="9"/>
      <c r="AA11" s="9"/>
    </row>
    <row r="12">
      <c r="A12" s="17" t="s">
        <v>72</v>
      </c>
      <c r="B12" s="50">
        <v>6113000.0</v>
      </c>
      <c r="C12" s="19"/>
      <c r="D12" s="47"/>
      <c r="E12" s="47"/>
      <c r="F12" s="48"/>
      <c r="G12" s="49"/>
      <c r="H12" s="31"/>
      <c r="I12" s="1"/>
      <c r="J12" s="32" t="s">
        <v>193</v>
      </c>
      <c r="K12" s="32" t="s">
        <v>112</v>
      </c>
      <c r="L12" s="41">
        <v>1.7</v>
      </c>
      <c r="M12" s="9"/>
      <c r="N12" s="9"/>
      <c r="O12" s="9"/>
      <c r="P12" s="9"/>
      <c r="Q12" s="42" t="s">
        <v>194</v>
      </c>
      <c r="R12" s="42" t="s">
        <v>44</v>
      </c>
      <c r="S12" s="28" t="s">
        <v>195</v>
      </c>
      <c r="T12" s="68"/>
      <c r="U12" s="68">
        <v>1.065081E9</v>
      </c>
      <c r="V12" s="28">
        <v>6.2695E7</v>
      </c>
      <c r="W12" s="85">
        <v>86.1</v>
      </c>
      <c r="X12" s="1"/>
      <c r="Y12" s="9"/>
      <c r="Z12" s="9"/>
      <c r="AA12" s="9"/>
    </row>
    <row r="13">
      <c r="A13" s="17" t="s">
        <v>76</v>
      </c>
      <c r="B13" s="40">
        <f>SUM(B11:B12)</f>
        <v>587301000</v>
      </c>
      <c r="C13" s="19"/>
      <c r="D13" s="47"/>
      <c r="E13" s="47"/>
      <c r="F13" s="19"/>
      <c r="G13" s="47"/>
      <c r="H13" s="47"/>
      <c r="I13" s="1"/>
      <c r="J13" s="32" t="s">
        <v>196</v>
      </c>
      <c r="K13" s="32" t="s">
        <v>169</v>
      </c>
      <c r="L13" s="41">
        <v>1.5</v>
      </c>
      <c r="M13" s="9"/>
      <c r="N13" s="42" t="s">
        <v>79</v>
      </c>
      <c r="O13" s="51">
        <f>O5-O8</f>
        <v>-481642000</v>
      </c>
      <c r="P13" s="9"/>
      <c r="Q13" s="42" t="s">
        <v>194</v>
      </c>
      <c r="R13" s="42" t="s">
        <v>136</v>
      </c>
      <c r="S13" s="28" t="s">
        <v>197</v>
      </c>
      <c r="T13" s="68"/>
      <c r="U13" s="68">
        <v>4.00234E8</v>
      </c>
      <c r="V13" s="28">
        <v>2.0381E7</v>
      </c>
      <c r="W13" s="85">
        <v>80.8</v>
      </c>
      <c r="X13" s="1"/>
      <c r="Y13" s="9"/>
      <c r="Z13" s="9"/>
      <c r="AA13" s="9"/>
    </row>
    <row r="14">
      <c r="A14" s="17" t="s">
        <v>81</v>
      </c>
      <c r="B14" s="50">
        <v>1527000.0</v>
      </c>
      <c r="C14" s="19"/>
      <c r="D14" s="47"/>
      <c r="E14" s="47"/>
      <c r="F14" s="19"/>
      <c r="G14" s="47"/>
      <c r="H14" s="47"/>
      <c r="I14" s="1"/>
      <c r="J14" s="32" t="s">
        <v>198</v>
      </c>
      <c r="K14" s="32" t="s">
        <v>112</v>
      </c>
      <c r="L14" s="41">
        <v>1.5</v>
      </c>
      <c r="M14" s="9"/>
      <c r="P14" s="9"/>
      <c r="Q14" s="42" t="s">
        <v>199</v>
      </c>
      <c r="R14" s="42" t="s">
        <v>44</v>
      </c>
      <c r="S14" s="28" t="s">
        <v>200</v>
      </c>
      <c r="T14" s="68"/>
      <c r="U14" s="68">
        <v>7.8998E7</v>
      </c>
      <c r="V14" s="28">
        <v>4081000.0</v>
      </c>
      <c r="W14" s="85">
        <v>84.6</v>
      </c>
      <c r="X14" s="1"/>
      <c r="Y14" s="9"/>
      <c r="Z14" s="9"/>
      <c r="AA14" s="9"/>
    </row>
    <row r="15">
      <c r="A15" s="42" t="s">
        <v>85</v>
      </c>
      <c r="B15" s="50">
        <v>-4647000.0</v>
      </c>
      <c r="C15" s="19"/>
      <c r="D15" s="47"/>
      <c r="E15" s="47"/>
      <c r="F15" s="19"/>
      <c r="G15" s="47"/>
      <c r="H15" s="47"/>
      <c r="I15" s="1"/>
      <c r="J15" s="32"/>
      <c r="K15" s="32"/>
      <c r="L15" s="41"/>
      <c r="M15" s="1"/>
      <c r="N15" s="8" t="s">
        <v>87</v>
      </c>
      <c r="O15" s="9"/>
      <c r="P15" s="1"/>
      <c r="Q15" s="42" t="s">
        <v>199</v>
      </c>
      <c r="R15" s="42" t="s">
        <v>44</v>
      </c>
      <c r="S15" s="28" t="s">
        <v>201</v>
      </c>
      <c r="T15" s="62"/>
      <c r="U15" s="62">
        <v>2.3808E7</v>
      </c>
      <c r="V15" s="28">
        <v>1217000.0</v>
      </c>
      <c r="W15" s="85">
        <v>100.0</v>
      </c>
      <c r="X15" s="1"/>
      <c r="Y15" s="9"/>
      <c r="Z15" s="9"/>
      <c r="AA15" s="9"/>
    </row>
    <row r="16">
      <c r="A16" s="42" t="s">
        <v>89</v>
      </c>
      <c r="B16" s="40">
        <f>SUM(B13:B15)</f>
        <v>584181000</v>
      </c>
      <c r="C16" s="19"/>
      <c r="D16" s="47"/>
      <c r="E16" s="47"/>
      <c r="F16" s="19"/>
      <c r="G16" s="47"/>
      <c r="H16" s="47"/>
      <c r="I16" s="1"/>
      <c r="J16" s="53" t="s">
        <v>90</v>
      </c>
      <c r="K16" s="53"/>
      <c r="L16" s="54">
        <f>SUM(L6:L15)</f>
        <v>21.8</v>
      </c>
      <c r="M16" s="1"/>
      <c r="N16" s="42" t="s">
        <v>91</v>
      </c>
      <c r="O16" s="23">
        <v>6.34034E8</v>
      </c>
      <c r="P16" s="1"/>
      <c r="Q16" s="42" t="s">
        <v>199</v>
      </c>
      <c r="R16" s="42" t="s">
        <v>44</v>
      </c>
      <c r="S16" s="28" t="s">
        <v>202</v>
      </c>
      <c r="T16" s="62"/>
      <c r="U16" s="62">
        <v>5.1313E7</v>
      </c>
      <c r="V16" s="28">
        <v>2424000.0</v>
      </c>
      <c r="W16" s="85">
        <v>100.0</v>
      </c>
      <c r="X16" s="1"/>
      <c r="Y16" s="9"/>
      <c r="Z16" s="9"/>
      <c r="AA16" s="9"/>
    </row>
    <row r="17">
      <c r="A17" s="17" t="s">
        <v>93</v>
      </c>
      <c r="B17" s="81">
        <v>-2.20443E8</v>
      </c>
      <c r="C17" s="19"/>
      <c r="D17" s="47"/>
      <c r="E17" s="47"/>
      <c r="F17" s="19"/>
      <c r="G17" s="47"/>
      <c r="H17" s="47"/>
      <c r="I17" s="1"/>
      <c r="J17" s="1"/>
      <c r="K17" s="1"/>
      <c r="L17" s="1"/>
      <c r="M17" s="9"/>
      <c r="N17" s="42" t="s">
        <v>94</v>
      </c>
      <c r="O17" s="55">
        <v>7.11412E8</v>
      </c>
      <c r="P17" s="1"/>
      <c r="Q17" s="42" t="s">
        <v>199</v>
      </c>
      <c r="R17" s="42" t="s">
        <v>44</v>
      </c>
      <c r="S17" s="28" t="s">
        <v>203</v>
      </c>
      <c r="T17" s="62"/>
      <c r="U17" s="62">
        <v>2.8678E7</v>
      </c>
      <c r="V17" s="28">
        <v>1646000.0</v>
      </c>
      <c r="W17" s="85">
        <v>100.0</v>
      </c>
      <c r="X17" s="1"/>
      <c r="Y17" s="9"/>
      <c r="Z17" s="9"/>
      <c r="AA17" s="9"/>
    </row>
    <row r="18">
      <c r="A18" s="17" t="s">
        <v>96</v>
      </c>
      <c r="B18" s="56">
        <f>B9</f>
        <v>633252000</v>
      </c>
      <c r="C18" s="19"/>
      <c r="D18" s="47"/>
      <c r="E18" s="47"/>
      <c r="F18" s="19"/>
      <c r="G18" s="47"/>
      <c r="H18" s="47"/>
      <c r="I18" s="1"/>
      <c r="J18" s="14" t="s">
        <v>97</v>
      </c>
      <c r="K18" s="15"/>
      <c r="L18" s="16"/>
      <c r="M18" s="1"/>
      <c r="N18" s="42" t="s">
        <v>98</v>
      </c>
      <c r="O18" s="55">
        <v>-1.32195E9</v>
      </c>
      <c r="P18" s="1"/>
      <c r="Q18" s="42" t="s">
        <v>199</v>
      </c>
      <c r="R18" s="42" t="s">
        <v>44</v>
      </c>
      <c r="S18" s="28" t="s">
        <v>204</v>
      </c>
      <c r="T18" s="62"/>
      <c r="U18" s="62">
        <v>1.37075E8</v>
      </c>
      <c r="V18" s="28">
        <v>7274000.0</v>
      </c>
      <c r="W18" s="85">
        <v>26.5</v>
      </c>
      <c r="X18" s="1"/>
      <c r="Y18" s="9"/>
      <c r="Z18" s="9"/>
      <c r="AA18" s="9"/>
    </row>
    <row r="19">
      <c r="A19" s="17" t="s">
        <v>100</v>
      </c>
      <c r="B19" s="42">
        <v>6.3209E7</v>
      </c>
      <c r="C19" s="19"/>
      <c r="D19" s="47"/>
      <c r="E19" s="47"/>
      <c r="F19" s="19"/>
      <c r="G19" s="47"/>
      <c r="H19" s="47"/>
      <c r="I19" s="1"/>
      <c r="J19" s="32" t="s">
        <v>74</v>
      </c>
      <c r="K19" s="32"/>
      <c r="L19" s="82">
        <v>15.0</v>
      </c>
      <c r="M19" s="1"/>
      <c r="N19" s="42" t="s">
        <v>101</v>
      </c>
      <c r="O19" s="43">
        <f>sum(O16:O18)</f>
        <v>23496000</v>
      </c>
      <c r="P19" s="1"/>
      <c r="Q19" s="42" t="s">
        <v>199</v>
      </c>
      <c r="R19" s="42" t="s">
        <v>44</v>
      </c>
      <c r="S19" s="28" t="s">
        <v>205</v>
      </c>
      <c r="T19" s="62"/>
      <c r="U19" s="62">
        <v>1.03708E8</v>
      </c>
      <c r="V19" s="28">
        <v>1.0119E7</v>
      </c>
      <c r="W19" s="85">
        <v>100.0</v>
      </c>
      <c r="X19" s="1"/>
      <c r="Y19" s="9"/>
      <c r="Z19" s="9"/>
      <c r="AA19" s="9"/>
    </row>
    <row r="20">
      <c r="A20" s="17" t="s">
        <v>103</v>
      </c>
      <c r="B20" s="56">
        <f>B11-B17-B19</f>
        <v>738422000</v>
      </c>
      <c r="C20" s="19"/>
      <c r="D20" s="47"/>
      <c r="E20" s="47"/>
      <c r="F20" s="19"/>
      <c r="G20" s="47"/>
      <c r="H20" s="47"/>
      <c r="I20" s="1"/>
      <c r="J20" s="32" t="s">
        <v>112</v>
      </c>
      <c r="K20" s="44"/>
      <c r="L20" s="41">
        <v>14.7</v>
      </c>
      <c r="M20" s="1"/>
      <c r="N20" s="57"/>
      <c r="O20" s="9"/>
      <c r="P20" s="1"/>
      <c r="Q20" s="42" t="s">
        <v>199</v>
      </c>
      <c r="R20" s="42" t="s">
        <v>44</v>
      </c>
      <c r="S20" s="28" t="s">
        <v>206</v>
      </c>
      <c r="T20" s="62"/>
      <c r="U20" s="62">
        <v>6.9439E7</v>
      </c>
      <c r="V20" s="28">
        <v>3283000.0</v>
      </c>
      <c r="W20" s="85">
        <v>95.2</v>
      </c>
      <c r="X20" s="1"/>
      <c r="Y20" s="9"/>
      <c r="Z20" s="9"/>
      <c r="AA20" s="9"/>
    </row>
    <row r="21">
      <c r="A21" s="42" t="s">
        <v>105</v>
      </c>
      <c r="B21" s="28">
        <v>4006000.0</v>
      </c>
      <c r="C21" s="19"/>
      <c r="D21" s="47"/>
      <c r="E21" s="47"/>
      <c r="F21" s="19"/>
      <c r="G21" s="47"/>
      <c r="H21" s="47"/>
      <c r="I21" s="1"/>
      <c r="J21" s="45" t="s">
        <v>78</v>
      </c>
      <c r="K21" s="44"/>
      <c r="L21" s="34">
        <v>11.9</v>
      </c>
      <c r="M21" s="1"/>
      <c r="P21" s="1"/>
      <c r="Q21" s="42" t="s">
        <v>199</v>
      </c>
      <c r="R21" s="42" t="s">
        <v>44</v>
      </c>
      <c r="S21" s="28" t="s">
        <v>207</v>
      </c>
      <c r="T21" s="62"/>
      <c r="U21" s="62">
        <v>2.99401E8</v>
      </c>
      <c r="V21" s="28">
        <v>2.5747E7</v>
      </c>
      <c r="W21" s="85">
        <v>72.9</v>
      </c>
      <c r="X21" s="1"/>
      <c r="Y21" s="9"/>
      <c r="Z21" s="9"/>
      <c r="AA21" s="9"/>
    </row>
    <row r="22">
      <c r="A22" s="42" t="s">
        <v>107</v>
      </c>
      <c r="B22" s="56">
        <f>B13-B19-B21</f>
        <v>520086000</v>
      </c>
      <c r="C22" s="19"/>
      <c r="D22" s="47"/>
      <c r="E22" s="47"/>
      <c r="F22" s="19"/>
      <c r="G22" s="47"/>
      <c r="H22" s="47"/>
      <c r="I22" s="1"/>
      <c r="J22" s="45" t="s">
        <v>42</v>
      </c>
      <c r="K22" s="44"/>
      <c r="L22" s="34">
        <v>6.9</v>
      </c>
      <c r="M22" s="1"/>
      <c r="Q22" s="42" t="s">
        <v>199</v>
      </c>
      <c r="R22" s="42" t="s">
        <v>44</v>
      </c>
      <c r="S22" s="28" t="s">
        <v>208</v>
      </c>
      <c r="T22" s="68"/>
      <c r="U22" s="68">
        <v>3.71546E8</v>
      </c>
      <c r="V22" s="28">
        <v>1.5169999E7</v>
      </c>
      <c r="W22" s="85">
        <v>100.0</v>
      </c>
      <c r="X22" s="1"/>
      <c r="Y22" s="9"/>
      <c r="Z22" s="9"/>
      <c r="AA22" s="9"/>
    </row>
    <row r="23">
      <c r="A23" s="9"/>
      <c r="B23" s="9"/>
      <c r="C23" s="19"/>
      <c r="D23" s="47"/>
      <c r="E23" s="47"/>
      <c r="F23" s="19"/>
      <c r="G23" s="47"/>
      <c r="H23" s="47"/>
      <c r="I23" s="1"/>
      <c r="J23" s="33" t="s">
        <v>209</v>
      </c>
      <c r="K23" s="44"/>
      <c r="L23" s="34">
        <v>5.0</v>
      </c>
      <c r="M23" s="1"/>
      <c r="Q23" s="42" t="s">
        <v>210</v>
      </c>
      <c r="R23" s="42" t="s">
        <v>44</v>
      </c>
      <c r="S23" s="28" t="s">
        <v>211</v>
      </c>
      <c r="T23" s="68">
        <v>50.0</v>
      </c>
      <c r="U23" s="68">
        <v>2.313E8</v>
      </c>
      <c r="V23" s="28">
        <v>1.13E7</v>
      </c>
      <c r="W23" s="85">
        <v>100.0</v>
      </c>
      <c r="X23" s="1"/>
      <c r="Y23" s="9"/>
      <c r="Z23" s="9"/>
      <c r="AA23" s="9"/>
    </row>
    <row r="24">
      <c r="A24" s="9"/>
      <c r="B24" s="9"/>
      <c r="C24" s="19"/>
      <c r="D24" s="47"/>
      <c r="E24" s="47"/>
      <c r="F24" s="19"/>
      <c r="G24" s="47"/>
      <c r="H24" s="47"/>
      <c r="I24" s="1"/>
      <c r="J24" s="32" t="s">
        <v>108</v>
      </c>
      <c r="K24" s="44"/>
      <c r="L24" s="41">
        <v>4.5</v>
      </c>
      <c r="M24" s="1"/>
      <c r="Q24" s="42"/>
      <c r="R24" s="42"/>
      <c r="S24" s="28"/>
      <c r="T24" s="68"/>
      <c r="U24" s="68"/>
      <c r="V24" s="28"/>
      <c r="W24" s="85"/>
      <c r="X24" s="1"/>
      <c r="Y24" s="9"/>
      <c r="Z24" s="9"/>
      <c r="AA24" s="9"/>
    </row>
    <row r="25">
      <c r="A25" s="9"/>
      <c r="B25" s="9"/>
      <c r="C25" s="19"/>
      <c r="D25" s="47"/>
      <c r="E25" s="47"/>
      <c r="F25" s="19"/>
      <c r="G25" s="47"/>
      <c r="H25" s="47"/>
      <c r="I25" s="1"/>
      <c r="J25" s="32" t="s">
        <v>181</v>
      </c>
      <c r="K25" s="44"/>
      <c r="L25" s="41">
        <v>4.3</v>
      </c>
      <c r="M25" s="1"/>
      <c r="Q25" s="42"/>
      <c r="R25" s="42"/>
      <c r="S25" s="28"/>
      <c r="T25" s="62"/>
      <c r="U25" s="62"/>
      <c r="V25" s="28"/>
      <c r="W25" s="85"/>
      <c r="X25" s="1"/>
      <c r="Y25" s="9"/>
      <c r="Z25" s="9"/>
      <c r="AA25" s="9"/>
    </row>
    <row r="26">
      <c r="A26" s="1"/>
      <c r="B26" s="57"/>
      <c r="C26" s="19"/>
      <c r="D26" s="47"/>
      <c r="E26" s="47"/>
      <c r="F26" s="19"/>
      <c r="G26" s="47"/>
      <c r="H26" s="47"/>
      <c r="I26" s="1"/>
      <c r="J26" s="32" t="s">
        <v>169</v>
      </c>
      <c r="K26" s="44"/>
      <c r="L26" s="41">
        <v>4.2</v>
      </c>
      <c r="M26" s="1"/>
      <c r="N26" s="9"/>
      <c r="O26" s="9"/>
      <c r="Q26" s="1"/>
      <c r="R26" s="1"/>
      <c r="S26" s="1"/>
      <c r="T26" s="1"/>
      <c r="U26" s="1"/>
      <c r="V26" s="1"/>
      <c r="W26" s="79"/>
      <c r="X26" s="1"/>
      <c r="Y26" s="9"/>
      <c r="Z26" s="9"/>
      <c r="AA26" s="9"/>
    </row>
    <row r="27">
      <c r="A27" s="1"/>
      <c r="B27" s="57"/>
      <c r="C27" s="19"/>
      <c r="D27" s="47"/>
      <c r="E27" s="47"/>
      <c r="F27" s="19"/>
      <c r="G27" s="47"/>
      <c r="H27" s="47"/>
      <c r="I27" s="1"/>
      <c r="J27" s="32" t="s">
        <v>46</v>
      </c>
      <c r="K27" s="44"/>
      <c r="L27" s="41">
        <v>33.5</v>
      </c>
      <c r="M27" s="1"/>
      <c r="N27" s="9"/>
      <c r="O27" s="9"/>
      <c r="P27" s="1"/>
      <c r="Q27" s="58" t="s">
        <v>114</v>
      </c>
      <c r="R27" s="15"/>
      <c r="S27" s="15"/>
      <c r="T27" s="15"/>
      <c r="U27" s="15"/>
      <c r="V27" s="15"/>
      <c r="W27" s="16"/>
      <c r="X27" s="1"/>
      <c r="Y27" s="9"/>
      <c r="Z27" s="9"/>
      <c r="AA27" s="9"/>
    </row>
    <row r="28">
      <c r="A28" s="1"/>
      <c r="B28" s="57"/>
      <c r="C28" s="19"/>
      <c r="D28" s="47"/>
      <c r="E28" s="47"/>
      <c r="F28" s="19"/>
      <c r="G28" s="47"/>
      <c r="H28" s="47"/>
      <c r="I28" s="1"/>
      <c r="J28" s="32"/>
      <c r="K28" s="44"/>
      <c r="L28" s="41"/>
      <c r="M28" s="57"/>
      <c r="N28" s="9"/>
      <c r="O28" s="9"/>
      <c r="P28" s="57"/>
      <c r="Q28" s="59" t="s">
        <v>18</v>
      </c>
      <c r="R28" s="59" t="s">
        <v>19</v>
      </c>
      <c r="S28" s="59"/>
      <c r="T28" s="60" t="s">
        <v>115</v>
      </c>
      <c r="U28" s="60" t="s">
        <v>22</v>
      </c>
      <c r="V28" s="59" t="s">
        <v>23</v>
      </c>
      <c r="W28" s="61" t="s">
        <v>24</v>
      </c>
      <c r="X28" s="1"/>
      <c r="Y28" s="9"/>
      <c r="Z28" s="9"/>
      <c r="AA28" s="9"/>
    </row>
    <row r="29">
      <c r="A29" s="1"/>
      <c r="B29" s="1"/>
      <c r="C29" s="19"/>
      <c r="D29" s="47"/>
      <c r="E29" s="47"/>
      <c r="F29" s="19"/>
      <c r="G29" s="47"/>
      <c r="H29" s="47"/>
      <c r="I29" s="1"/>
      <c r="J29" s="53" t="s">
        <v>90</v>
      </c>
      <c r="K29" s="53"/>
      <c r="L29" s="54">
        <f>SUM(L19:L28)</f>
        <v>100</v>
      </c>
      <c r="M29" s="57"/>
      <c r="N29" s="9"/>
      <c r="O29" s="9"/>
      <c r="P29" s="57"/>
      <c r="Q29" s="42" t="s">
        <v>34</v>
      </c>
      <c r="R29" s="76" t="s">
        <v>65</v>
      </c>
      <c r="S29" s="28"/>
      <c r="T29" s="28">
        <v>1.0</v>
      </c>
      <c r="U29" s="86">
        <v>3.855E9</v>
      </c>
      <c r="V29" s="72">
        <v>2.42194E8</v>
      </c>
      <c r="W29" s="87">
        <v>95.9</v>
      </c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4">
        <f>SUM(E6:E29)</f>
        <v>908841000</v>
      </c>
      <c r="F30" s="19"/>
      <c r="G30" s="19" t="s">
        <v>90</v>
      </c>
      <c r="H30" s="64">
        <f>SUM(H6:H29)</f>
        <v>-50285000</v>
      </c>
      <c r="I30" s="1"/>
      <c r="J30" s="1"/>
      <c r="K30" s="1"/>
      <c r="L30" s="1"/>
      <c r="M30" s="57"/>
      <c r="N30" s="9"/>
      <c r="O30" s="9"/>
      <c r="P30" s="57"/>
      <c r="Q30" s="42" t="s">
        <v>34</v>
      </c>
      <c r="R30" s="88" t="s">
        <v>136</v>
      </c>
      <c r="S30" s="28"/>
      <c r="T30" s="28">
        <v>3.0</v>
      </c>
      <c r="U30" s="62">
        <v>4.808E9</v>
      </c>
      <c r="V30" s="28">
        <v>2.8006E8</v>
      </c>
      <c r="W30" s="80">
        <v>92.9</v>
      </c>
      <c r="X30" s="1"/>
      <c r="Y30" s="9"/>
      <c r="Z30" s="9"/>
      <c r="AA30" s="9"/>
    </row>
    <row r="31">
      <c r="A31" s="1"/>
      <c r="B31" s="1"/>
      <c r="C31" s="19"/>
      <c r="D31" s="65" t="s">
        <v>116</v>
      </c>
      <c r="E31" s="66" t="str">
        <f>IF(B5=E30, "True", "False")</f>
        <v>True</v>
      </c>
      <c r="F31" s="19"/>
      <c r="G31" s="65" t="s">
        <v>116</v>
      </c>
      <c r="H31" s="66" t="str">
        <f>IF(B8=H30, "True", "False")</f>
        <v>True</v>
      </c>
      <c r="I31" s="1"/>
      <c r="J31" s="1"/>
      <c r="K31" s="1"/>
      <c r="L31" s="1"/>
      <c r="M31" s="57"/>
      <c r="N31" s="9"/>
      <c r="O31" s="9"/>
      <c r="P31" s="57"/>
      <c r="Q31" s="42" t="s">
        <v>34</v>
      </c>
      <c r="R31" s="88" t="s">
        <v>44</v>
      </c>
      <c r="S31" s="28"/>
      <c r="T31" s="28">
        <v>1.0</v>
      </c>
      <c r="U31" s="86">
        <v>3500000.0</v>
      </c>
      <c r="V31" s="89">
        <v>3.2806E7</v>
      </c>
      <c r="W31" s="87">
        <v>100.0</v>
      </c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7"/>
      <c r="N32" s="9"/>
      <c r="O32" s="9"/>
      <c r="P32" s="9"/>
      <c r="Q32" s="76" t="s">
        <v>191</v>
      </c>
      <c r="R32" s="88" t="s">
        <v>136</v>
      </c>
      <c r="S32" s="28"/>
      <c r="T32" s="28">
        <v>1.0</v>
      </c>
      <c r="U32" s="86">
        <v>4.086421E9</v>
      </c>
      <c r="V32" s="72">
        <v>1.99754E8</v>
      </c>
      <c r="W32" s="87">
        <v>96.7</v>
      </c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88" t="s">
        <v>194</v>
      </c>
      <c r="R33" s="88" t="s">
        <v>44</v>
      </c>
      <c r="S33" s="28"/>
      <c r="T33" s="28">
        <v>1.0</v>
      </c>
      <c r="U33" s="86">
        <v>1.065081E9</v>
      </c>
      <c r="V33" s="72">
        <v>6.2695E7</v>
      </c>
      <c r="W33" s="87">
        <v>86.1</v>
      </c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88" t="s">
        <v>194</v>
      </c>
      <c r="R34" s="88" t="s">
        <v>136</v>
      </c>
      <c r="S34" s="28"/>
      <c r="T34" s="28">
        <v>1.0</v>
      </c>
      <c r="U34" s="86">
        <v>4.00234E8</v>
      </c>
      <c r="V34" s="72">
        <v>2.0381E7</v>
      </c>
      <c r="W34" s="87">
        <v>80.8</v>
      </c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88" t="s">
        <v>199</v>
      </c>
      <c r="R35" s="88" t="s">
        <v>44</v>
      </c>
      <c r="S35" s="28"/>
      <c r="T35" s="28">
        <v>9.0</v>
      </c>
      <c r="U35" s="62">
        <v>1.163966E9</v>
      </c>
      <c r="V35" s="28">
        <v>7.0960999E7</v>
      </c>
      <c r="W35" s="80">
        <v>86.6</v>
      </c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67"/>
      <c r="P36" s="9"/>
      <c r="Q36" s="88" t="s">
        <v>210</v>
      </c>
      <c r="R36" s="88" t="s">
        <v>44</v>
      </c>
      <c r="S36" s="28"/>
      <c r="T36" s="28">
        <v>1.0</v>
      </c>
      <c r="U36" s="86">
        <v>2.313E8</v>
      </c>
      <c r="V36" s="72">
        <v>1.13E7</v>
      </c>
      <c r="W36" s="90">
        <v>100.0</v>
      </c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76" t="s">
        <v>119</v>
      </c>
      <c r="O37" s="91"/>
      <c r="P37" s="1"/>
      <c r="Q37" s="42"/>
      <c r="R37" s="88"/>
      <c r="S37" s="28"/>
      <c r="T37" s="28"/>
      <c r="U37" s="68"/>
      <c r="V37" s="28"/>
      <c r="W37" s="80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76" t="s">
        <v>120</v>
      </c>
      <c r="O38" s="91"/>
      <c r="P38" s="1"/>
      <c r="Q38" s="42"/>
      <c r="R38" s="88"/>
      <c r="S38" s="28"/>
      <c r="T38" s="28"/>
      <c r="U38" s="62"/>
      <c r="V38" s="28"/>
      <c r="W38" s="80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76" t="s">
        <v>121</v>
      </c>
      <c r="O39" s="91"/>
      <c r="P39" s="1"/>
      <c r="Q39" s="42"/>
      <c r="R39" s="88"/>
      <c r="S39" s="28"/>
      <c r="T39" s="28"/>
      <c r="U39" s="62"/>
      <c r="V39" s="28"/>
      <c r="W39" s="80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76" t="s">
        <v>122</v>
      </c>
      <c r="O40" s="72">
        <f>56743000+1059000</f>
        <v>57802000</v>
      </c>
      <c r="P40" s="8"/>
      <c r="Q40" s="91"/>
      <c r="R40" s="91"/>
      <c r="S40" s="92"/>
      <c r="T40" s="93"/>
      <c r="U40" s="93"/>
      <c r="V40" s="92"/>
      <c r="W40" s="94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95"/>
      <c r="O41" s="95"/>
      <c r="P41" s="1"/>
      <c r="Q41" s="1"/>
      <c r="R41" s="1"/>
      <c r="S41" s="69" t="s">
        <v>90</v>
      </c>
      <c r="T41" s="70">
        <f t="shared" ref="T41:V41" si="1">sum(T29:T40)</f>
        <v>18</v>
      </c>
      <c r="U41" s="70">
        <f t="shared" si="1"/>
        <v>15613502000</v>
      </c>
      <c r="V41" s="70">
        <f t="shared" si="1"/>
        <v>920150999</v>
      </c>
      <c r="W41" s="4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6"/>
      <c r="O42" s="97" t="s">
        <v>123</v>
      </c>
      <c r="P42" s="1"/>
      <c r="R42" s="1"/>
      <c r="S42" s="1"/>
      <c r="T42" s="1"/>
      <c r="U42" s="1"/>
      <c r="V42" s="1"/>
      <c r="W42" s="79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71" t="s">
        <v>124</v>
      </c>
      <c r="O43" s="72">
        <v>5.260391E9</v>
      </c>
      <c r="P43" s="1"/>
      <c r="R43" s="1"/>
      <c r="S43" s="1"/>
      <c r="T43" s="1"/>
      <c r="U43" s="1"/>
      <c r="V43" s="1"/>
      <c r="W43" s="79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73" t="s">
        <v>125</v>
      </c>
      <c r="O44" s="72">
        <v>5.260796E9</v>
      </c>
      <c r="P44" s="1"/>
      <c r="R44" s="1"/>
      <c r="S44" s="1"/>
      <c r="T44" s="1"/>
      <c r="U44" s="1"/>
      <c r="V44" s="1"/>
      <c r="W44" s="79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98" t="s">
        <v>126</v>
      </c>
      <c r="O45" s="78">
        <f>423022000+158112000</f>
        <v>581134000</v>
      </c>
      <c r="P45" s="1"/>
      <c r="R45" s="1"/>
      <c r="S45" s="1"/>
      <c r="T45" s="1"/>
      <c r="U45" s="1"/>
      <c r="V45" s="1"/>
      <c r="W45" s="79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99" t="s">
        <v>127</v>
      </c>
      <c r="O46" s="78">
        <v>4.23022E8</v>
      </c>
      <c r="P46" s="1"/>
      <c r="R46" s="1"/>
      <c r="S46" s="1"/>
      <c r="T46" s="1"/>
      <c r="U46" s="1"/>
      <c r="V46" s="1"/>
      <c r="W46" s="79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9" t="s">
        <v>128</v>
      </c>
      <c r="O47" s="78">
        <v>4.39609E8</v>
      </c>
      <c r="P47" s="1"/>
      <c r="R47" s="1"/>
      <c r="S47" s="1"/>
      <c r="T47" s="1"/>
      <c r="U47" s="1"/>
      <c r="V47" s="1"/>
      <c r="W47" s="79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99" t="s">
        <v>129</v>
      </c>
      <c r="O48" s="78">
        <v>1.41525E8</v>
      </c>
      <c r="P48" s="1"/>
      <c r="R48" s="1"/>
      <c r="S48" s="1"/>
      <c r="T48" s="1"/>
      <c r="U48" s="1"/>
      <c r="V48" s="1"/>
      <c r="W48" s="79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130</v>
      </c>
      <c r="O49" s="78">
        <v>5.26758E9</v>
      </c>
      <c r="R49" s="1"/>
      <c r="S49" s="1"/>
      <c r="T49" s="1"/>
      <c r="U49" s="1"/>
      <c r="V49" s="1"/>
      <c r="W49" s="79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N50" s="100" t="s">
        <v>131</v>
      </c>
      <c r="O50" s="78">
        <v>3527000.0</v>
      </c>
      <c r="R50" s="1"/>
      <c r="S50" s="1"/>
      <c r="T50" s="1"/>
      <c r="U50" s="1"/>
      <c r="V50" s="1"/>
      <c r="W50" s="79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R51" s="1"/>
      <c r="S51" s="1"/>
      <c r="T51" s="1"/>
      <c r="U51" s="1"/>
      <c r="V51" s="1"/>
      <c r="W51" s="79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R52" s="1"/>
      <c r="S52" s="1"/>
      <c r="T52" s="1"/>
      <c r="U52" s="1"/>
      <c r="V52" s="1"/>
      <c r="W52" s="79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R53" s="1"/>
      <c r="S53" s="1"/>
      <c r="T53" s="1"/>
      <c r="U53" s="1"/>
      <c r="V53" s="1"/>
      <c r="W53" s="79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R54" s="1"/>
      <c r="S54" s="1"/>
      <c r="T54" s="1"/>
      <c r="U54" s="1"/>
      <c r="V54" s="1"/>
      <c r="W54" s="79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R55" s="1"/>
      <c r="S55" s="1"/>
      <c r="T55" s="1"/>
      <c r="U55" s="1"/>
      <c r="V55" s="1"/>
      <c r="W55" s="79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R56" s="1"/>
      <c r="S56" s="1"/>
      <c r="T56" s="1"/>
      <c r="U56" s="1"/>
      <c r="V56" s="1"/>
      <c r="W56" s="79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R57" s="1"/>
      <c r="S57" s="1"/>
      <c r="T57" s="1"/>
      <c r="U57" s="1"/>
      <c r="V57" s="1"/>
      <c r="W57" s="79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R58" s="1"/>
      <c r="S58" s="1"/>
      <c r="T58" s="1"/>
      <c r="U58" s="1"/>
      <c r="V58" s="1"/>
      <c r="W58" s="79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R59" s="1"/>
      <c r="S59" s="1"/>
      <c r="T59" s="1"/>
      <c r="U59" s="1"/>
      <c r="V59" s="1"/>
      <c r="W59" s="79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R60" s="1"/>
      <c r="S60" s="1"/>
      <c r="T60" s="1"/>
      <c r="U60" s="1"/>
      <c r="V60" s="1"/>
      <c r="W60" s="79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R61" s="1"/>
      <c r="S61" s="1"/>
      <c r="T61" s="1"/>
      <c r="U61" s="1"/>
      <c r="V61" s="1"/>
      <c r="W61" s="79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R62" s="1"/>
      <c r="S62" s="1"/>
      <c r="T62" s="1"/>
      <c r="U62" s="1"/>
      <c r="V62" s="1"/>
      <c r="W62" s="79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R63" s="1"/>
      <c r="S63" s="1"/>
      <c r="T63" s="1"/>
      <c r="U63" s="1"/>
      <c r="V63" s="1"/>
      <c r="W63" s="79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R64" s="1"/>
      <c r="S64" s="1"/>
      <c r="T64" s="1"/>
      <c r="U64" s="1"/>
      <c r="V64" s="1"/>
      <c r="W64" s="79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R65" s="1"/>
      <c r="S65" s="1"/>
      <c r="T65" s="1"/>
      <c r="U65" s="1"/>
      <c r="V65" s="1"/>
      <c r="W65" s="79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R66" s="1"/>
      <c r="S66" s="1"/>
      <c r="T66" s="1"/>
      <c r="U66" s="1"/>
      <c r="V66" s="1"/>
      <c r="W66" s="79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Q67" s="1"/>
      <c r="R67" s="1"/>
      <c r="S67" s="1"/>
      <c r="T67" s="1"/>
      <c r="U67" s="1"/>
      <c r="V67" s="1"/>
      <c r="W67" s="79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Q68" s="1"/>
      <c r="R68" s="1"/>
      <c r="S68" s="1"/>
      <c r="T68" s="1"/>
      <c r="U68" s="1"/>
      <c r="V68" s="1"/>
      <c r="W68" s="79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Q69" s="1"/>
      <c r="R69" s="1"/>
      <c r="S69" s="1"/>
      <c r="T69" s="1"/>
      <c r="U69" s="1"/>
      <c r="V69" s="1"/>
      <c r="W69" s="79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Q70" s="1"/>
      <c r="R70" s="1"/>
      <c r="S70" s="1"/>
      <c r="T70" s="1"/>
      <c r="U70" s="1"/>
      <c r="V70" s="1"/>
      <c r="W70" s="79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Q71" s="1"/>
      <c r="R71" s="1"/>
      <c r="S71" s="1"/>
      <c r="T71" s="1"/>
      <c r="U71" s="1"/>
      <c r="V71" s="1"/>
      <c r="W71" s="79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Q72" s="1"/>
      <c r="R72" s="1"/>
      <c r="S72" s="1"/>
      <c r="T72" s="1"/>
      <c r="U72" s="1"/>
      <c r="V72" s="1"/>
      <c r="W72" s="79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Q73" s="1"/>
      <c r="R73" s="1"/>
      <c r="S73" s="1"/>
      <c r="T73" s="1"/>
      <c r="U73" s="1"/>
      <c r="V73" s="1"/>
      <c r="W73" s="79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Q74" s="1"/>
      <c r="R74" s="1"/>
      <c r="S74" s="1"/>
      <c r="T74" s="1"/>
      <c r="U74" s="1"/>
      <c r="V74" s="1"/>
      <c r="W74" s="79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Q75" s="1"/>
      <c r="R75" s="1"/>
      <c r="S75" s="1"/>
      <c r="T75" s="1"/>
      <c r="U75" s="1"/>
      <c r="V75" s="1"/>
      <c r="W75" s="79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Q76" s="1"/>
      <c r="R76" s="1"/>
      <c r="S76" s="1"/>
      <c r="T76" s="1"/>
      <c r="U76" s="1"/>
      <c r="V76" s="1"/>
      <c r="W76" s="79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Q77" s="1"/>
      <c r="R77" s="1"/>
      <c r="S77" s="1"/>
      <c r="T77" s="1"/>
      <c r="U77" s="1"/>
      <c r="V77" s="1"/>
      <c r="W77" s="79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Q78" s="1"/>
      <c r="R78" s="1"/>
      <c r="S78" s="1"/>
      <c r="T78" s="1"/>
      <c r="U78" s="1"/>
      <c r="V78" s="1"/>
      <c r="W78" s="79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Q79" s="1"/>
      <c r="R79" s="1"/>
      <c r="S79" s="1"/>
      <c r="T79" s="1"/>
      <c r="U79" s="1"/>
      <c r="V79" s="1"/>
      <c r="W79" s="79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Q80" s="1"/>
      <c r="R80" s="1"/>
      <c r="S80" s="1"/>
      <c r="T80" s="1"/>
      <c r="U80" s="1"/>
      <c r="V80" s="1"/>
      <c r="W80" s="79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Q81" s="1"/>
      <c r="R81" s="1"/>
      <c r="S81" s="1"/>
      <c r="T81" s="1"/>
      <c r="U81" s="1"/>
      <c r="V81" s="1"/>
      <c r="W81" s="79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Q82" s="1"/>
      <c r="R82" s="1"/>
      <c r="S82" s="1"/>
      <c r="T82" s="1"/>
      <c r="U82" s="1"/>
      <c r="V82" s="1"/>
      <c r="W82" s="79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Q83" s="1"/>
      <c r="R83" s="1"/>
      <c r="S83" s="1"/>
      <c r="T83" s="1"/>
      <c r="U83" s="1"/>
      <c r="V83" s="1"/>
      <c r="W83" s="79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Q84" s="1"/>
      <c r="R84" s="1"/>
      <c r="S84" s="1"/>
      <c r="T84" s="1"/>
      <c r="U84" s="1"/>
      <c r="V84" s="1"/>
      <c r="W84" s="79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Q85" s="1"/>
      <c r="R85" s="1"/>
      <c r="S85" s="1"/>
      <c r="T85" s="1"/>
      <c r="U85" s="1"/>
      <c r="V85" s="1"/>
      <c r="W85" s="79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Q86" s="1"/>
      <c r="R86" s="1"/>
      <c r="S86" s="1"/>
      <c r="T86" s="1"/>
      <c r="U86" s="1"/>
      <c r="V86" s="1"/>
      <c r="W86" s="79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Q87" s="1"/>
      <c r="R87" s="1"/>
      <c r="S87" s="1"/>
      <c r="T87" s="1"/>
      <c r="U87" s="1"/>
      <c r="V87" s="1"/>
      <c r="W87" s="79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79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79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79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79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79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79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79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79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79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79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79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79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79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79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9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9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79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9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79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79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79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79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9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9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9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9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9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9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9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9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9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9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9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9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9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9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9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9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9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9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9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9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9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9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9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9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9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9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9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9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9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9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9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9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9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9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9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9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9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79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79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79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79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79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79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79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79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79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79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79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79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79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79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79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79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79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79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79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79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79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79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79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79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79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79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79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79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79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79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79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79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79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79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79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79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79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79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79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79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79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79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79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79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79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79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79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79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79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79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79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79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79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79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79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79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79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79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79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79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79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79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79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79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79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79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79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79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79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79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79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79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79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79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79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79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79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79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79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79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79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79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79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79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79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79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79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79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79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79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79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79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79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79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79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79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79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79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79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79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79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79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79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79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79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79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79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79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79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79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79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79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79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79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79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79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79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79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79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79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79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79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79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79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79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79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79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79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79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79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79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79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79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79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79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79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79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79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79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79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79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79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79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79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79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79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79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79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79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79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79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79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79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79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79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79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79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79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79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79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79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79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79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79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79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79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79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79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79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79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79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79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79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79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79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79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79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79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79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79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79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79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79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79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79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79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79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79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79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79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79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79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79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79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79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79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79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79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79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79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79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79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79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79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79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79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79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79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79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79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79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9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9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9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9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79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79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79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79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9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79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79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79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79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79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79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79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79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79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79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79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79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79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79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79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79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79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79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79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79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79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79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79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79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79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79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79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79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79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79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79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79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79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79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79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79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79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79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79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79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79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79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79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79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79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79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79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79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79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79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79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79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79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79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79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79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79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79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79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79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79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79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79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79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79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79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79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79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79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79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79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79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79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79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79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79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79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79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79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79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79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79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79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79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79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79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79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79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79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79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79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79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79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79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79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79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79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79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79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79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79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79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79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79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79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79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79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79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79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79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79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79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79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79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79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79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79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79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79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79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79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79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79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79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79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79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79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79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79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79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79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79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79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79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79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79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79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79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79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79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79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79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79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79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79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79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79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79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79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79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79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79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79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79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79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79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79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79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79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79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79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79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79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79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79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79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79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79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79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79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79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79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79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79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79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79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79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79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79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79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79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79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79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79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79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79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79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79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79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79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79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79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79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79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79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79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79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79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79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79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79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79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79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79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79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79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79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79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79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79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79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79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79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79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79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79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79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79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79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79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79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79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79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79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79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79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79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79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79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79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79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79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79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79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79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79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79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79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79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79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79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79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79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79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79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79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79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79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79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79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79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79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79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79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79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79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79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79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79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79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79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79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79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79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79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79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79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79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79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79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79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79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79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79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79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79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79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79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79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79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79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79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79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79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79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79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79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79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79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79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79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79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79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79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79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79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79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79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79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79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79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79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79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79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79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79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79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79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79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79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79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79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79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79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79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79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79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79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79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79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79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79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79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79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79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79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79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79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79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79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79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79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79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79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79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79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79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79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79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79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79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79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79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79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79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79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79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79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79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79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79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79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79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79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79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79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79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79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79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79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79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79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79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79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79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79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79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79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79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79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79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79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79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79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79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79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79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79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79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79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79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79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79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79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79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79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79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79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79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79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79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79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79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79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79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79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79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79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79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79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79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79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79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79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79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79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79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79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79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79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79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79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79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79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79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79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79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79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79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79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79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79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79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79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79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79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79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79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79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79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79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79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79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79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79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79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79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79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79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79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79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79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79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79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79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79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79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79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79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79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79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79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79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79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79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79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79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79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79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79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79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79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79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79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79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79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79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79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79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79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79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79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79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79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79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79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79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79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79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79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79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79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79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79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79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79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79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79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79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79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79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79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79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79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79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79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79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79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79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79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79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79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79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79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79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79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79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79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79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79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79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79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79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79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79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79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79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79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79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79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79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79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79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79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79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79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79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79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79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79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79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79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79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79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79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79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79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79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79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79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79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79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79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79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79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79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79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79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79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79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79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79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79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79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79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79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79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79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79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79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79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79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79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79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79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79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79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79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79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79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79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79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79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79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79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79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79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79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79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79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79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79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79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79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79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79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79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79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79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79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79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79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79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79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79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79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79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79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79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79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79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79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"/>
      <c r="U969" s="1"/>
      <c r="V969" s="1"/>
      <c r="W969" s="79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"/>
      <c r="U970" s="1"/>
      <c r="V970" s="1"/>
      <c r="W970" s="79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"/>
      <c r="U971" s="1"/>
      <c r="V971" s="1"/>
      <c r="W971" s="79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"/>
      <c r="U972" s="1"/>
      <c r="V972" s="1"/>
      <c r="W972" s="79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"/>
      <c r="U973" s="1"/>
      <c r="V973" s="1"/>
      <c r="W973" s="79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Q974" s="1"/>
      <c r="R974" s="1"/>
      <c r="S974" s="1"/>
      <c r="T974" s="1"/>
      <c r="U974" s="1"/>
      <c r="V974" s="1"/>
      <c r="W974" s="79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X995" s="1"/>
      <c r="Y995" s="1"/>
      <c r="Z995" s="1"/>
      <c r="AA995" s="1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6:R25 R29:R39">
      <formula1>"Business Space, Life Sciences,Industrial,Logistics,Data Centers,Retail,Office"</formula1>
    </dataValidation>
    <dataValidation type="list" allowBlank="1" showErrorMessage="1" sqref="Q40">
      <formula1>"Australia,Germany,Singapore"</formula1>
    </dataValidation>
    <dataValidation type="list" allowBlank="1" showErrorMessage="1" sqref="F6:F10">
      <formula1>"Sales &amp; Marketing,General &amp; Admin,R&amp;D,Salaries &amp; Benefits,Other expenses"</formula1>
    </dataValidation>
    <dataValidation type="list" allowBlank="1" showErrorMessage="1" sqref="Q29:Q31 Q37:Q39">
      <formula1>"Australia,Germany,Singapore,United States,United Kingdom,France"</formula1>
    </dataValidation>
    <dataValidation type="list" allowBlank="1" showErrorMessage="1" sqref="Q6:Q25 Q32:Q36">
      <formula1>"Australia,Germany,Singapore,United States,United Kingdom/Europe,China,South Korea,Japan,Hong Kong"</formula1>
    </dataValidation>
    <dataValidation type="list" allowBlank="1" showErrorMessage="1" sqref="C6:C8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7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40">
      <formula1>"Integrated Development,Office,Retail"</formula1>
    </dataValidation>
  </dataValidations>
  <hyperlinks>
    <hyperlink r:id="rId1" ref="B1"/>
    <hyperlink r:id="rId2" ref="B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0.88"/>
    <col customWidth="1" min="18" max="18" width="18.88"/>
    <col customWidth="1" min="19" max="19" width="26.5"/>
    <col customWidth="1" min="20" max="21" width="20.75"/>
    <col customWidth="1" min="22" max="22" width="20.13"/>
    <col customWidth="1" min="23" max="27" width="26.5"/>
  </cols>
  <sheetData>
    <row r="1">
      <c r="A1" s="1" t="s">
        <v>0</v>
      </c>
      <c r="B1" s="2" t="s">
        <v>212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79"/>
      <c r="X1" s="1"/>
      <c r="Y1" s="1"/>
      <c r="Z1" s="1"/>
      <c r="AA1" s="1"/>
    </row>
    <row r="2">
      <c r="A2" s="1" t="s">
        <v>2</v>
      </c>
      <c r="B2" s="5" t="s">
        <v>213</v>
      </c>
      <c r="C2" s="1"/>
      <c r="D2" s="6" t="s">
        <v>4</v>
      </c>
      <c r="E2" s="84">
        <v>45747.0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79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1"/>
      <c r="W3" s="79"/>
      <c r="X3" s="1"/>
      <c r="Y3" s="9"/>
      <c r="Z3" s="9"/>
      <c r="AA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7.27026E8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4.28737E8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/>
      <c r="AA5" s="9"/>
    </row>
    <row r="6">
      <c r="A6" s="17" t="s">
        <v>26</v>
      </c>
      <c r="B6" s="18">
        <v>-1.01733E8</v>
      </c>
      <c r="C6" s="19" t="s">
        <v>27</v>
      </c>
      <c r="D6" s="28" t="s">
        <v>134</v>
      </c>
      <c r="E6" s="29">
        <v>6.27722E8</v>
      </c>
      <c r="F6" s="30" t="s">
        <v>29</v>
      </c>
      <c r="G6" s="31" t="s">
        <v>30</v>
      </c>
      <c r="H6" s="18">
        <v>-9.0513E7</v>
      </c>
      <c r="I6" s="8"/>
      <c r="J6" s="32" t="s">
        <v>214</v>
      </c>
      <c r="K6" s="45" t="s">
        <v>112</v>
      </c>
      <c r="L6" s="34">
        <v>3.7</v>
      </c>
      <c r="M6" s="1"/>
      <c r="N6" s="22" t="s">
        <v>33</v>
      </c>
      <c r="O6" s="23">
        <v>1.346413E10</v>
      </c>
      <c r="P6" s="1"/>
      <c r="Q6" s="97" t="s">
        <v>191</v>
      </c>
      <c r="R6" s="97" t="s">
        <v>152</v>
      </c>
      <c r="S6" s="101" t="s">
        <v>215</v>
      </c>
      <c r="T6" s="102"/>
      <c r="U6" s="102">
        <v>1.284062E9</v>
      </c>
      <c r="V6" s="102">
        <v>5.2187E7</v>
      </c>
      <c r="W6" s="87">
        <v>97.0</v>
      </c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625293000</v>
      </c>
      <c r="C7" s="30" t="s">
        <v>27</v>
      </c>
      <c r="D7" s="32" t="s">
        <v>216</v>
      </c>
      <c r="E7" s="18">
        <v>8.7058E7</v>
      </c>
      <c r="F7" s="30" t="s">
        <v>29</v>
      </c>
      <c r="G7" s="31" t="s">
        <v>49</v>
      </c>
      <c r="H7" s="31">
        <v>-1821000.0</v>
      </c>
      <c r="I7" s="1"/>
      <c r="J7" s="32" t="s">
        <v>217</v>
      </c>
      <c r="K7" s="32" t="s">
        <v>46</v>
      </c>
      <c r="L7" s="41">
        <v>3.4</v>
      </c>
      <c r="M7" s="1"/>
      <c r="N7" s="42" t="s">
        <v>43</v>
      </c>
      <c r="O7" s="43">
        <f>sum(O5:O6)</f>
        <v>13892867000</v>
      </c>
      <c r="P7" s="1"/>
      <c r="Q7" s="97" t="s">
        <v>34</v>
      </c>
      <c r="R7" s="97" t="s">
        <v>152</v>
      </c>
      <c r="S7" s="101" t="s">
        <v>218</v>
      </c>
      <c r="T7" s="102"/>
      <c r="U7" s="102">
        <v>2.82E8</v>
      </c>
      <c r="V7" s="102">
        <v>2.2972E7</v>
      </c>
      <c r="W7" s="87">
        <v>98.0</v>
      </c>
      <c r="X7" s="1"/>
      <c r="Y7" s="17" t="s">
        <v>46</v>
      </c>
      <c r="Z7" s="28"/>
      <c r="AA7" s="9"/>
    </row>
    <row r="8">
      <c r="A8" s="17" t="s">
        <v>47</v>
      </c>
      <c r="B8" s="18">
        <v>-1.03243E8</v>
      </c>
      <c r="C8" s="19" t="s">
        <v>27</v>
      </c>
      <c r="D8" s="32" t="s">
        <v>46</v>
      </c>
      <c r="E8" s="18">
        <v>1.2246E7</v>
      </c>
      <c r="F8" s="30" t="s">
        <v>29</v>
      </c>
      <c r="G8" s="31" t="s">
        <v>183</v>
      </c>
      <c r="H8" s="31">
        <v>-1.0909E7</v>
      </c>
      <c r="I8" s="1"/>
      <c r="J8" s="45" t="s">
        <v>219</v>
      </c>
      <c r="K8" s="45" t="s">
        <v>209</v>
      </c>
      <c r="L8" s="34">
        <v>3.1</v>
      </c>
      <c r="M8" s="1"/>
      <c r="N8" s="42" t="s">
        <v>51</v>
      </c>
      <c r="O8" s="23">
        <v>7.4048E8</v>
      </c>
      <c r="P8" s="1"/>
      <c r="Q8" s="97" t="s">
        <v>191</v>
      </c>
      <c r="R8" s="97" t="s">
        <v>152</v>
      </c>
      <c r="S8" s="101" t="s">
        <v>220</v>
      </c>
      <c r="T8" s="102"/>
      <c r="U8" s="102">
        <v>3.91818E8</v>
      </c>
      <c r="V8" s="102">
        <v>1.7755E7</v>
      </c>
      <c r="W8" s="87">
        <v>100.0</v>
      </c>
      <c r="X8" s="1"/>
      <c r="Y8" s="17" t="s">
        <v>53</v>
      </c>
      <c r="Z8" s="46">
        <v>360.0</v>
      </c>
      <c r="AA8" s="9"/>
    </row>
    <row r="9">
      <c r="A9" s="17" t="s">
        <v>54</v>
      </c>
      <c r="B9" s="40">
        <f>sum(B7:B8)</f>
        <v>522050000</v>
      </c>
      <c r="C9" s="19"/>
      <c r="D9" s="44"/>
      <c r="E9" s="47"/>
      <c r="F9" s="19"/>
      <c r="G9" s="31"/>
      <c r="H9" s="31"/>
      <c r="I9" s="1"/>
      <c r="J9" s="45" t="s">
        <v>221</v>
      </c>
      <c r="K9" s="32" t="s">
        <v>46</v>
      </c>
      <c r="L9" s="34">
        <v>2.0</v>
      </c>
      <c r="M9" s="1"/>
      <c r="N9" s="42" t="s">
        <v>58</v>
      </c>
      <c r="O9" s="23">
        <v>5.905813E9</v>
      </c>
      <c r="P9" s="1"/>
      <c r="Q9" s="97" t="s">
        <v>117</v>
      </c>
      <c r="R9" s="97" t="s">
        <v>152</v>
      </c>
      <c r="S9" s="101" t="s">
        <v>222</v>
      </c>
      <c r="T9" s="102"/>
      <c r="U9" s="102">
        <v>3.21498E8</v>
      </c>
      <c r="V9" s="102">
        <v>1.6844E7</v>
      </c>
      <c r="W9" s="87">
        <v>100.0</v>
      </c>
      <c r="X9" s="1"/>
      <c r="Y9" s="9"/>
      <c r="Z9" s="9"/>
      <c r="AA9" s="9"/>
    </row>
    <row r="10">
      <c r="A10" s="17" t="s">
        <v>60</v>
      </c>
      <c r="B10" s="18">
        <v>-2.48289E8</v>
      </c>
      <c r="C10" s="19"/>
      <c r="D10" s="47"/>
      <c r="E10" s="47"/>
      <c r="F10" s="48"/>
      <c r="G10" s="49"/>
      <c r="H10" s="31"/>
      <c r="I10" s="1"/>
      <c r="J10" s="33" t="s">
        <v>223</v>
      </c>
      <c r="K10" s="45" t="s">
        <v>112</v>
      </c>
      <c r="L10" s="34">
        <v>1.8</v>
      </c>
      <c r="M10" s="1"/>
      <c r="N10" s="42" t="s">
        <v>64</v>
      </c>
      <c r="O10" s="43">
        <f>sum(O8:O9)</f>
        <v>6646293000</v>
      </c>
      <c r="P10" s="1"/>
      <c r="Q10" s="97" t="s">
        <v>34</v>
      </c>
      <c r="R10" s="97" t="s">
        <v>152</v>
      </c>
      <c r="S10" s="101" t="s">
        <v>224</v>
      </c>
      <c r="T10" s="102"/>
      <c r="U10" s="102">
        <v>2.72E8</v>
      </c>
      <c r="V10" s="102">
        <v>1.6399E7</v>
      </c>
      <c r="W10" s="87">
        <v>100.0</v>
      </c>
      <c r="X10" s="1"/>
      <c r="Y10" s="9"/>
      <c r="Z10" s="9"/>
      <c r="AA10" s="9"/>
    </row>
    <row r="11">
      <c r="A11" s="17" t="s">
        <v>67</v>
      </c>
      <c r="B11" s="40">
        <f>sum(B9:B10)</f>
        <v>273761000</v>
      </c>
      <c r="C11" s="19"/>
      <c r="D11" s="47"/>
      <c r="E11" s="47"/>
      <c r="F11" s="19"/>
      <c r="G11" s="31"/>
      <c r="H11" s="31"/>
      <c r="I11" s="1"/>
      <c r="J11" s="32" t="s">
        <v>225</v>
      </c>
      <c r="K11" s="32" t="s">
        <v>46</v>
      </c>
      <c r="L11" s="41">
        <v>1.6</v>
      </c>
      <c r="M11" s="9"/>
      <c r="N11" s="42" t="s">
        <v>70</v>
      </c>
      <c r="O11" s="43">
        <f>O7-O10</f>
        <v>7246574000</v>
      </c>
      <c r="P11" s="9"/>
      <c r="Q11" s="97" t="s">
        <v>226</v>
      </c>
      <c r="R11" s="97" t="s">
        <v>152</v>
      </c>
      <c r="S11" s="101" t="s">
        <v>227</v>
      </c>
      <c r="T11" s="102"/>
      <c r="U11" s="102">
        <v>2.63986E8</v>
      </c>
      <c r="V11" s="102">
        <v>1.6137E7</v>
      </c>
      <c r="W11" s="87">
        <v>100.0</v>
      </c>
      <c r="X11" s="1"/>
      <c r="Y11" s="9"/>
      <c r="Z11" s="9"/>
      <c r="AA11" s="9"/>
    </row>
    <row r="12">
      <c r="A12" s="17" t="s">
        <v>72</v>
      </c>
      <c r="B12" s="50">
        <v>-6.4865E7</v>
      </c>
      <c r="C12" s="19"/>
      <c r="D12" s="47"/>
      <c r="E12" s="47"/>
      <c r="F12" s="48"/>
      <c r="G12" s="49"/>
      <c r="H12" s="31"/>
      <c r="I12" s="1"/>
      <c r="J12" s="32" t="s">
        <v>228</v>
      </c>
      <c r="K12" s="45" t="s">
        <v>112</v>
      </c>
      <c r="L12" s="41">
        <v>1.6</v>
      </c>
      <c r="M12" s="9"/>
      <c r="N12" s="9"/>
      <c r="O12" s="9"/>
      <c r="P12" s="9"/>
      <c r="Q12" s="97" t="s">
        <v>191</v>
      </c>
      <c r="R12" s="97" t="s">
        <v>152</v>
      </c>
      <c r="S12" s="101" t="s">
        <v>229</v>
      </c>
      <c r="T12" s="102"/>
      <c r="U12" s="102">
        <v>4.29797E8</v>
      </c>
      <c r="V12" s="102">
        <v>1.5407E7</v>
      </c>
      <c r="W12" s="87">
        <v>100.0</v>
      </c>
      <c r="X12" s="1"/>
      <c r="Y12" s="9"/>
      <c r="Z12" s="9"/>
      <c r="AA12" s="9"/>
    </row>
    <row r="13">
      <c r="A13" s="17" t="s">
        <v>76</v>
      </c>
      <c r="B13" s="40">
        <f>SUM(B11:B12)</f>
        <v>208896000</v>
      </c>
      <c r="C13" s="19"/>
      <c r="D13" s="47"/>
      <c r="E13" s="47"/>
      <c r="F13" s="19"/>
      <c r="G13" s="47"/>
      <c r="H13" s="47"/>
      <c r="I13" s="1"/>
      <c r="J13" s="32" t="s">
        <v>230</v>
      </c>
      <c r="K13" s="45" t="s">
        <v>209</v>
      </c>
      <c r="L13" s="41">
        <v>1.5</v>
      </c>
      <c r="M13" s="9"/>
      <c r="N13" s="42" t="s">
        <v>79</v>
      </c>
      <c r="O13" s="51">
        <f>O5-O8</f>
        <v>-311743000</v>
      </c>
      <c r="P13" s="9"/>
      <c r="Q13" s="97" t="s">
        <v>191</v>
      </c>
      <c r="R13" s="97" t="s">
        <v>152</v>
      </c>
      <c r="S13" s="101" t="s">
        <v>231</v>
      </c>
      <c r="T13" s="102"/>
      <c r="U13" s="102">
        <v>4.01785E8</v>
      </c>
      <c r="V13" s="102">
        <v>1.4815E7</v>
      </c>
      <c r="W13" s="87">
        <v>92.0</v>
      </c>
      <c r="X13" s="1"/>
      <c r="Y13" s="9"/>
      <c r="Z13" s="9"/>
      <c r="AA13" s="9"/>
    </row>
    <row r="14">
      <c r="A14" s="17" t="s">
        <v>81</v>
      </c>
      <c r="B14" s="50">
        <v>-1125000.0</v>
      </c>
      <c r="C14" s="19"/>
      <c r="D14" s="47"/>
      <c r="E14" s="47"/>
      <c r="F14" s="19"/>
      <c r="G14" s="47"/>
      <c r="H14" s="47"/>
      <c r="I14" s="1"/>
      <c r="J14" s="32" t="s">
        <v>232</v>
      </c>
      <c r="K14" s="32" t="s">
        <v>165</v>
      </c>
      <c r="L14" s="41">
        <v>1.5</v>
      </c>
      <c r="M14" s="9"/>
      <c r="P14" s="9"/>
      <c r="Q14" s="97" t="s">
        <v>34</v>
      </c>
      <c r="R14" s="97" t="s">
        <v>152</v>
      </c>
      <c r="S14" s="101" t="s">
        <v>233</v>
      </c>
      <c r="T14" s="102"/>
      <c r="U14" s="102">
        <v>1.328E8</v>
      </c>
      <c r="V14" s="102">
        <v>1.3457E7</v>
      </c>
      <c r="W14" s="87">
        <v>100.0</v>
      </c>
      <c r="X14" s="1"/>
      <c r="Y14" s="9"/>
      <c r="Z14" s="9"/>
      <c r="AA14" s="9"/>
    </row>
    <row r="15">
      <c r="A15" s="42" t="s">
        <v>85</v>
      </c>
      <c r="B15" s="50">
        <v>-2.4231E7</v>
      </c>
      <c r="C15" s="19"/>
      <c r="D15" s="47"/>
      <c r="E15" s="47"/>
      <c r="F15" s="19"/>
      <c r="G15" s="47"/>
      <c r="H15" s="47"/>
      <c r="I15" s="1"/>
      <c r="J15" s="32" t="s">
        <v>234</v>
      </c>
      <c r="K15" s="32" t="s">
        <v>181</v>
      </c>
      <c r="L15" s="41">
        <v>1.5</v>
      </c>
      <c r="M15" s="1"/>
      <c r="N15" s="8" t="s">
        <v>87</v>
      </c>
      <c r="O15" s="9"/>
      <c r="P15" s="1"/>
      <c r="Q15" s="97" t="s">
        <v>199</v>
      </c>
      <c r="R15" s="97" t="s">
        <v>152</v>
      </c>
      <c r="S15" s="101" t="s">
        <v>235</v>
      </c>
      <c r="T15" s="102"/>
      <c r="U15" s="102">
        <v>3.21946E8</v>
      </c>
      <c r="V15" s="102">
        <v>1.2217E7</v>
      </c>
      <c r="W15" s="87">
        <v>98.0</v>
      </c>
      <c r="X15" s="1"/>
      <c r="Y15" s="9"/>
      <c r="Z15" s="9"/>
      <c r="AA15" s="9"/>
    </row>
    <row r="16">
      <c r="A16" s="42" t="s">
        <v>89</v>
      </c>
      <c r="B16" s="40">
        <f>SUM(B13:B15)</f>
        <v>183540000</v>
      </c>
      <c r="C16" s="19"/>
      <c r="D16" s="47"/>
      <c r="E16" s="47"/>
      <c r="F16" s="19"/>
      <c r="G16" s="47"/>
      <c r="H16" s="47"/>
      <c r="I16" s="1"/>
      <c r="J16" s="53" t="s">
        <v>90</v>
      </c>
      <c r="K16" s="53"/>
      <c r="L16" s="54">
        <f>SUM(L6:L15)</f>
        <v>21.7</v>
      </c>
      <c r="M16" s="1"/>
      <c r="N16" s="42" t="s">
        <v>91</v>
      </c>
      <c r="O16" s="23">
        <v>5.36029E8</v>
      </c>
      <c r="P16" s="1"/>
      <c r="Q16" s="97" t="s">
        <v>34</v>
      </c>
      <c r="R16" s="97" t="s">
        <v>152</v>
      </c>
      <c r="S16" s="101" t="s">
        <v>236</v>
      </c>
      <c r="T16" s="102"/>
      <c r="U16" s="102">
        <v>1.458E8</v>
      </c>
      <c r="V16" s="102">
        <v>1.2171E7</v>
      </c>
      <c r="W16" s="87">
        <v>100.0</v>
      </c>
      <c r="X16" s="1"/>
      <c r="Y16" s="9"/>
      <c r="Z16" s="9"/>
      <c r="AA16" s="9"/>
    </row>
    <row r="17">
      <c r="A17" s="17" t="s">
        <v>93</v>
      </c>
      <c r="B17" s="81">
        <v>-1.54245E8</v>
      </c>
      <c r="C17" s="19"/>
      <c r="D17" s="47"/>
      <c r="E17" s="47"/>
      <c r="F17" s="19"/>
      <c r="G17" s="47"/>
      <c r="H17" s="47"/>
      <c r="I17" s="1"/>
      <c r="J17" s="1"/>
      <c r="K17" s="1"/>
      <c r="L17" s="1"/>
      <c r="M17" s="9"/>
      <c r="N17" s="42" t="s">
        <v>94</v>
      </c>
      <c r="O17" s="55">
        <v>-2.43692E8</v>
      </c>
      <c r="P17" s="1"/>
      <c r="Q17" s="97" t="s">
        <v>34</v>
      </c>
      <c r="R17" s="97" t="s">
        <v>152</v>
      </c>
      <c r="S17" s="101" t="s">
        <v>237</v>
      </c>
      <c r="T17" s="102"/>
      <c r="U17" s="102">
        <v>1.915E8</v>
      </c>
      <c r="V17" s="102">
        <v>1.2158E7</v>
      </c>
      <c r="W17" s="87">
        <v>100.0</v>
      </c>
      <c r="X17" s="1"/>
      <c r="Y17" s="9"/>
      <c r="Z17" s="9"/>
      <c r="AA17" s="9"/>
    </row>
    <row r="18">
      <c r="A18" s="17" t="s">
        <v>96</v>
      </c>
      <c r="B18" s="56">
        <f>B9</f>
        <v>522050000</v>
      </c>
      <c r="C18" s="19"/>
      <c r="D18" s="47"/>
      <c r="E18" s="47"/>
      <c r="F18" s="19"/>
      <c r="G18" s="47"/>
      <c r="H18" s="47"/>
      <c r="I18" s="1"/>
      <c r="J18" s="14" t="s">
        <v>97</v>
      </c>
      <c r="K18" s="15"/>
      <c r="L18" s="16"/>
      <c r="M18" s="1"/>
      <c r="N18" s="42" t="s">
        <v>98</v>
      </c>
      <c r="O18" s="55">
        <v>-2.86737E8</v>
      </c>
      <c r="P18" s="1"/>
      <c r="Q18" s="97" t="s">
        <v>34</v>
      </c>
      <c r="R18" s="97" t="s">
        <v>152</v>
      </c>
      <c r="S18" s="101" t="s">
        <v>238</v>
      </c>
      <c r="T18" s="102"/>
      <c r="U18" s="102">
        <v>1.556E8</v>
      </c>
      <c r="V18" s="102">
        <v>1.1563E7</v>
      </c>
      <c r="W18" s="87">
        <v>82.0</v>
      </c>
      <c r="X18" s="1"/>
      <c r="Y18" s="9"/>
      <c r="Z18" s="9"/>
      <c r="AA18" s="9"/>
    </row>
    <row r="19">
      <c r="A19" s="17" t="s">
        <v>100</v>
      </c>
      <c r="B19" s="42"/>
      <c r="C19" s="19"/>
      <c r="D19" s="47"/>
      <c r="E19" s="47"/>
      <c r="F19" s="19"/>
      <c r="G19" s="47"/>
      <c r="H19" s="47"/>
      <c r="I19" s="1"/>
      <c r="J19" s="32" t="s">
        <v>74</v>
      </c>
      <c r="K19" s="32"/>
      <c r="L19" s="82">
        <v>19.0</v>
      </c>
      <c r="M19" s="1"/>
      <c r="N19" s="42" t="s">
        <v>101</v>
      </c>
      <c r="O19" s="43">
        <f>sum(O16:O18)</f>
        <v>5600000</v>
      </c>
      <c r="P19" s="1"/>
      <c r="Q19" s="97" t="s">
        <v>34</v>
      </c>
      <c r="R19" s="97" t="s">
        <v>152</v>
      </c>
      <c r="S19" s="101" t="s">
        <v>239</v>
      </c>
      <c r="T19" s="102"/>
      <c r="U19" s="102">
        <v>1.25E8</v>
      </c>
      <c r="V19" s="102">
        <v>1.0717E7</v>
      </c>
      <c r="W19" s="87">
        <v>96.0</v>
      </c>
      <c r="X19" s="1"/>
      <c r="Y19" s="9"/>
      <c r="Z19" s="9"/>
      <c r="AA19" s="9"/>
    </row>
    <row r="20">
      <c r="A20" s="17" t="s">
        <v>103</v>
      </c>
      <c r="B20" s="56">
        <f>B11-B17-B19</f>
        <v>428006000</v>
      </c>
      <c r="C20" s="30"/>
      <c r="D20" s="47"/>
      <c r="E20" s="47"/>
      <c r="F20" s="19"/>
      <c r="G20" s="47"/>
      <c r="H20" s="47"/>
      <c r="I20" s="1"/>
      <c r="J20" s="45" t="s">
        <v>209</v>
      </c>
      <c r="K20" s="44"/>
      <c r="L20" s="41">
        <v>17.0</v>
      </c>
      <c r="M20" s="1"/>
      <c r="N20" s="57"/>
      <c r="O20" s="9"/>
      <c r="P20" s="1"/>
      <c r="Q20" s="97" t="s">
        <v>191</v>
      </c>
      <c r="R20" s="97" t="s">
        <v>152</v>
      </c>
      <c r="S20" s="101" t="s">
        <v>240</v>
      </c>
      <c r="T20" s="102"/>
      <c r="U20" s="102">
        <v>1.746E8</v>
      </c>
      <c r="V20" s="102">
        <v>1.0279E7</v>
      </c>
      <c r="W20" s="87">
        <v>100.0</v>
      </c>
      <c r="X20" s="1"/>
      <c r="Y20" s="9"/>
      <c r="Z20" s="9"/>
      <c r="AA20" s="9"/>
    </row>
    <row r="21">
      <c r="A21" s="42" t="s">
        <v>105</v>
      </c>
      <c r="B21" s="28"/>
      <c r="C21" s="19"/>
      <c r="D21" s="47"/>
      <c r="E21" s="47"/>
      <c r="F21" s="19"/>
      <c r="G21" s="47"/>
      <c r="H21" s="47"/>
      <c r="I21" s="1"/>
      <c r="J21" s="45" t="s">
        <v>112</v>
      </c>
      <c r="K21" s="44"/>
      <c r="L21" s="34">
        <v>16.9</v>
      </c>
      <c r="M21" s="1"/>
      <c r="P21" s="1"/>
      <c r="Q21" s="97" t="s">
        <v>226</v>
      </c>
      <c r="R21" s="97" t="s">
        <v>152</v>
      </c>
      <c r="S21" s="101" t="s">
        <v>241</v>
      </c>
      <c r="T21" s="102"/>
      <c r="U21" s="102">
        <v>1.7007E8</v>
      </c>
      <c r="V21" s="102">
        <v>1.0081E7</v>
      </c>
      <c r="W21" s="87">
        <v>97.0</v>
      </c>
      <c r="X21" s="1"/>
      <c r="Y21" s="9"/>
      <c r="Z21" s="9"/>
      <c r="AA21" s="9"/>
    </row>
    <row r="22">
      <c r="A22" s="42" t="s">
        <v>107</v>
      </c>
      <c r="B22" s="56">
        <f>B13-B19-B21</f>
        <v>208896000</v>
      </c>
      <c r="C22" s="19"/>
      <c r="D22" s="47"/>
      <c r="E22" s="47"/>
      <c r="F22" s="19"/>
      <c r="G22" s="47"/>
      <c r="H22" s="47"/>
      <c r="I22" s="1"/>
      <c r="J22" s="45" t="s">
        <v>78</v>
      </c>
      <c r="K22" s="44"/>
      <c r="L22" s="34">
        <v>6.0</v>
      </c>
      <c r="M22" s="1"/>
      <c r="Q22" s="97" t="s">
        <v>199</v>
      </c>
      <c r="R22" s="97" t="s">
        <v>152</v>
      </c>
      <c r="S22" s="101" t="s">
        <v>242</v>
      </c>
      <c r="T22" s="102"/>
      <c r="U22" s="102">
        <v>2.33524E8</v>
      </c>
      <c r="V22" s="102">
        <v>9736000.0</v>
      </c>
      <c r="W22" s="87">
        <v>100.0</v>
      </c>
      <c r="X22" s="1"/>
      <c r="Y22" s="9"/>
      <c r="Z22" s="9"/>
      <c r="AA22" s="9"/>
    </row>
    <row r="23">
      <c r="A23" s="9"/>
      <c r="B23" s="9"/>
      <c r="C23" s="19"/>
      <c r="D23" s="47"/>
      <c r="E23" s="47"/>
      <c r="F23" s="19"/>
      <c r="G23" s="47"/>
      <c r="H23" s="47"/>
      <c r="I23" s="1"/>
      <c r="J23" s="33" t="s">
        <v>181</v>
      </c>
      <c r="K23" s="44"/>
      <c r="L23" s="34">
        <v>6.0</v>
      </c>
      <c r="M23" s="1"/>
      <c r="Q23" s="97" t="s">
        <v>34</v>
      </c>
      <c r="R23" s="97" t="s">
        <v>152</v>
      </c>
      <c r="S23" s="101" t="s">
        <v>243</v>
      </c>
      <c r="T23" s="102"/>
      <c r="U23" s="102">
        <v>1.106E8</v>
      </c>
      <c r="V23" s="102">
        <v>9276000.0</v>
      </c>
      <c r="W23" s="87">
        <v>99.0</v>
      </c>
      <c r="X23" s="1"/>
      <c r="Y23" s="9"/>
      <c r="Z23" s="9"/>
      <c r="AA23" s="9"/>
    </row>
    <row r="24">
      <c r="A24" s="9"/>
      <c r="B24" s="9"/>
      <c r="C24" s="19"/>
      <c r="D24" s="47"/>
      <c r="E24" s="47"/>
      <c r="F24" s="19"/>
      <c r="G24" s="47"/>
      <c r="H24" s="47"/>
      <c r="I24" s="1"/>
      <c r="J24" s="32" t="s">
        <v>181</v>
      </c>
      <c r="K24" s="44"/>
      <c r="L24" s="41">
        <v>6.0</v>
      </c>
      <c r="M24" s="1"/>
      <c r="Q24" s="97" t="s">
        <v>194</v>
      </c>
      <c r="R24" s="97" t="s">
        <v>152</v>
      </c>
      <c r="S24" s="101" t="s">
        <v>244</v>
      </c>
      <c r="T24" s="102"/>
      <c r="U24" s="102">
        <v>1.55524E8</v>
      </c>
      <c r="V24" s="102">
        <v>8172000.0</v>
      </c>
      <c r="W24" s="87">
        <v>100.0</v>
      </c>
      <c r="X24" s="1"/>
      <c r="Y24" s="9"/>
      <c r="Z24" s="9"/>
      <c r="AA24" s="9"/>
    </row>
    <row r="25">
      <c r="A25" s="9"/>
      <c r="B25" s="9"/>
      <c r="C25" s="19"/>
      <c r="D25" s="47"/>
      <c r="E25" s="47"/>
      <c r="F25" s="19"/>
      <c r="G25" s="47"/>
      <c r="H25" s="47"/>
      <c r="I25" s="1"/>
      <c r="J25" s="32" t="s">
        <v>57</v>
      </c>
      <c r="K25" s="44"/>
      <c r="L25" s="41">
        <v>4.0</v>
      </c>
      <c r="M25" s="1"/>
      <c r="Q25" s="97" t="s">
        <v>210</v>
      </c>
      <c r="R25" s="97" t="s">
        <v>152</v>
      </c>
      <c r="S25" s="101" t="s">
        <v>245</v>
      </c>
      <c r="T25" s="102"/>
      <c r="U25" s="102">
        <v>1.42442E8</v>
      </c>
      <c r="V25" s="102">
        <v>7740000.0</v>
      </c>
      <c r="W25" s="87">
        <v>100.0</v>
      </c>
      <c r="X25" s="1"/>
      <c r="Y25" s="9"/>
      <c r="Z25" s="9"/>
      <c r="AA25" s="9"/>
    </row>
    <row r="26">
      <c r="A26" s="1"/>
      <c r="B26" s="57"/>
      <c r="C26" s="19"/>
      <c r="D26" s="47"/>
      <c r="E26" s="47"/>
      <c r="F26" s="19"/>
      <c r="G26" s="47"/>
      <c r="H26" s="47"/>
      <c r="I26" s="1"/>
      <c r="J26" s="32" t="s">
        <v>139</v>
      </c>
      <c r="K26" s="44"/>
      <c r="L26" s="41">
        <v>4.2</v>
      </c>
      <c r="M26" s="1"/>
      <c r="N26" s="9"/>
      <c r="O26" s="9"/>
      <c r="Q26" s="1"/>
      <c r="R26" s="1"/>
      <c r="S26" s="1"/>
      <c r="T26" s="1"/>
      <c r="U26" s="1"/>
      <c r="V26" s="1"/>
      <c r="W26" s="79"/>
      <c r="X26" s="1"/>
      <c r="Y26" s="9"/>
      <c r="Z26" s="9"/>
      <c r="AA26" s="9"/>
    </row>
    <row r="27">
      <c r="A27" s="1"/>
      <c r="B27" s="57"/>
      <c r="C27" s="19"/>
      <c r="D27" s="47"/>
      <c r="E27" s="47"/>
      <c r="F27" s="19"/>
      <c r="G27" s="47"/>
      <c r="H27" s="47"/>
      <c r="I27" s="1"/>
      <c r="J27" s="32" t="s">
        <v>46</v>
      </c>
      <c r="K27" s="44"/>
      <c r="L27" s="41">
        <v>20.9</v>
      </c>
      <c r="M27" s="1"/>
      <c r="N27" s="9"/>
      <c r="O27" s="9"/>
      <c r="P27" s="1"/>
      <c r="Q27" s="58" t="s">
        <v>114</v>
      </c>
      <c r="R27" s="15"/>
      <c r="S27" s="15"/>
      <c r="T27" s="15"/>
      <c r="U27" s="15"/>
      <c r="V27" s="15"/>
      <c r="W27" s="16"/>
      <c r="X27" s="1"/>
      <c r="Y27" s="9"/>
      <c r="Z27" s="9"/>
      <c r="AA27" s="9"/>
    </row>
    <row r="28">
      <c r="A28" s="1"/>
      <c r="B28" s="57"/>
      <c r="C28" s="19"/>
      <c r="D28" s="47"/>
      <c r="E28" s="47"/>
      <c r="F28" s="19"/>
      <c r="G28" s="47"/>
      <c r="H28" s="47"/>
      <c r="I28" s="1"/>
      <c r="J28" s="32"/>
      <c r="K28" s="44"/>
      <c r="L28" s="41"/>
      <c r="M28" s="57"/>
      <c r="N28" s="9"/>
      <c r="O28" s="9"/>
      <c r="P28" s="57"/>
      <c r="Q28" s="59" t="s">
        <v>18</v>
      </c>
      <c r="R28" s="59" t="s">
        <v>19</v>
      </c>
      <c r="S28" s="59"/>
      <c r="T28" s="60" t="s">
        <v>115</v>
      </c>
      <c r="U28" s="60" t="s">
        <v>22</v>
      </c>
      <c r="V28" s="59" t="s">
        <v>23</v>
      </c>
      <c r="W28" s="61" t="s">
        <v>24</v>
      </c>
      <c r="X28" s="1"/>
      <c r="Y28" s="9"/>
      <c r="Z28" s="9"/>
      <c r="AA28" s="9"/>
    </row>
    <row r="29">
      <c r="A29" s="1"/>
      <c r="B29" s="1"/>
      <c r="C29" s="19"/>
      <c r="D29" s="47"/>
      <c r="E29" s="47"/>
      <c r="F29" s="19"/>
      <c r="G29" s="47"/>
      <c r="H29" s="47"/>
      <c r="I29" s="1"/>
      <c r="J29" s="53" t="s">
        <v>90</v>
      </c>
      <c r="K29" s="53"/>
      <c r="L29" s="54">
        <f>SUM(L19:L28)</f>
        <v>100</v>
      </c>
      <c r="M29" s="57"/>
      <c r="N29" s="9"/>
      <c r="O29" s="9"/>
      <c r="P29" s="57"/>
      <c r="Q29" s="76" t="s">
        <v>34</v>
      </c>
      <c r="R29" s="76" t="s">
        <v>152</v>
      </c>
      <c r="S29" s="101"/>
      <c r="T29" s="103">
        <v>46.0</v>
      </c>
      <c r="U29" s="104">
        <v>2.5601E9</v>
      </c>
      <c r="V29" s="104">
        <v>2.01149E8</v>
      </c>
      <c r="W29" s="105">
        <v>96.2</v>
      </c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4">
        <f>SUM(E6:E29)</f>
        <v>727026000</v>
      </c>
      <c r="F30" s="19"/>
      <c r="G30" s="19" t="s">
        <v>90</v>
      </c>
      <c r="H30" s="64">
        <f>SUM(H6:H29)</f>
        <v>-103243000</v>
      </c>
      <c r="I30" s="1"/>
      <c r="J30" s="1"/>
      <c r="K30" s="1"/>
      <c r="L30" s="1"/>
      <c r="M30" s="57"/>
      <c r="N30" s="9"/>
      <c r="O30" s="9"/>
      <c r="P30" s="57"/>
      <c r="Q30" s="76" t="s">
        <v>117</v>
      </c>
      <c r="R30" s="76" t="s">
        <v>152</v>
      </c>
      <c r="S30" s="101"/>
      <c r="T30" s="103">
        <v>14.0</v>
      </c>
      <c r="U30" s="106">
        <v>9.52742E8</v>
      </c>
      <c r="V30" s="89">
        <v>5.3153E7</v>
      </c>
      <c r="W30" s="87">
        <v>100.0</v>
      </c>
      <c r="X30" s="1"/>
      <c r="Y30" s="9"/>
      <c r="Z30" s="9"/>
      <c r="AA30" s="9"/>
    </row>
    <row r="31">
      <c r="A31" s="1"/>
      <c r="B31" s="1"/>
      <c r="C31" s="19"/>
      <c r="D31" s="65" t="s">
        <v>116</v>
      </c>
      <c r="E31" s="66" t="str">
        <f>IF(B5=E30, "True", "False")</f>
        <v>True</v>
      </c>
      <c r="F31" s="19"/>
      <c r="G31" s="65" t="s">
        <v>116</v>
      </c>
      <c r="H31" s="66" t="str">
        <f>IF(B8=H30, "True", "False")</f>
        <v>True</v>
      </c>
      <c r="I31" s="1"/>
      <c r="J31" s="1"/>
      <c r="K31" s="1"/>
      <c r="L31" s="1"/>
      <c r="M31" s="57"/>
      <c r="N31" s="9"/>
      <c r="O31" s="9"/>
      <c r="P31" s="57"/>
      <c r="Q31" s="76" t="s">
        <v>194</v>
      </c>
      <c r="R31" s="76" t="s">
        <v>152</v>
      </c>
      <c r="S31" s="101"/>
      <c r="T31" s="103">
        <v>43.0</v>
      </c>
      <c r="U31" s="106">
        <v>2.410804E9</v>
      </c>
      <c r="V31" s="89">
        <v>1.23524E8</v>
      </c>
      <c r="W31" s="107">
        <v>95.1</v>
      </c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7"/>
      <c r="N32" s="9"/>
      <c r="O32" s="9"/>
      <c r="P32" s="9"/>
      <c r="Q32" s="76" t="s">
        <v>191</v>
      </c>
      <c r="R32" s="76" t="s">
        <v>152</v>
      </c>
      <c r="S32" s="101"/>
      <c r="T32" s="103">
        <v>9.0</v>
      </c>
      <c r="U32" s="106">
        <v>3.090894E9</v>
      </c>
      <c r="V32" s="89">
        <v>1.23708E8</v>
      </c>
      <c r="W32" s="107">
        <v>98.8</v>
      </c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76" t="s">
        <v>246</v>
      </c>
      <c r="R33" s="76" t="s">
        <v>152</v>
      </c>
      <c r="S33" s="101"/>
      <c r="T33" s="103">
        <v>3.0</v>
      </c>
      <c r="U33" s="86">
        <v>9.6615E7</v>
      </c>
      <c r="V33" s="72">
        <v>8266000.0</v>
      </c>
      <c r="W33" s="87">
        <v>100.0</v>
      </c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76" t="s">
        <v>199</v>
      </c>
      <c r="R34" s="76" t="s">
        <v>152</v>
      </c>
      <c r="S34" s="101"/>
      <c r="T34" s="103">
        <v>24.0</v>
      </c>
      <c r="U34" s="106">
        <v>1.942381E9</v>
      </c>
      <c r="V34" s="89">
        <v>8.2051E7</v>
      </c>
      <c r="W34" s="107">
        <v>99.9</v>
      </c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76" t="s">
        <v>226</v>
      </c>
      <c r="R35" s="76" t="s">
        <v>152</v>
      </c>
      <c r="S35" s="101"/>
      <c r="T35" s="103">
        <v>15.0</v>
      </c>
      <c r="U35" s="106">
        <v>6.92775E8</v>
      </c>
      <c r="V35" s="89">
        <v>4.5122E7</v>
      </c>
      <c r="W35" s="107">
        <v>99.8</v>
      </c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67"/>
      <c r="P36" s="9"/>
      <c r="Q36" s="76" t="s">
        <v>210</v>
      </c>
      <c r="R36" s="76" t="s">
        <v>152</v>
      </c>
      <c r="S36" s="101"/>
      <c r="T36" s="103">
        <v>21.0</v>
      </c>
      <c r="U36" s="106">
        <v>1.043997E9</v>
      </c>
      <c r="V36" s="89">
        <v>5.715E7</v>
      </c>
      <c r="W36" s="107">
        <v>96.2</v>
      </c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 t="s">
        <v>119</v>
      </c>
      <c r="O37" s="42"/>
      <c r="P37" s="1"/>
      <c r="Q37" s="76" t="s">
        <v>247</v>
      </c>
      <c r="R37" s="76" t="s">
        <v>152</v>
      </c>
      <c r="S37" s="101"/>
      <c r="T37" s="103">
        <v>13.0</v>
      </c>
      <c r="U37" s="86">
        <v>3.92643E8</v>
      </c>
      <c r="V37" s="72">
        <v>3.2903E7</v>
      </c>
      <c r="W37" s="87">
        <v>98.0</v>
      </c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 t="s">
        <v>120</v>
      </c>
      <c r="O38" s="42"/>
      <c r="P38" s="1"/>
      <c r="Q38" s="108"/>
      <c r="R38" s="108"/>
      <c r="S38" s="109"/>
      <c r="T38" s="109"/>
      <c r="U38" s="109"/>
      <c r="V38" s="109"/>
      <c r="W38" s="108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 t="s">
        <v>121</v>
      </c>
      <c r="O39" s="42"/>
      <c r="P39" s="1"/>
      <c r="Q39" s="108"/>
      <c r="R39" s="108"/>
      <c r="S39" s="109"/>
      <c r="T39" s="109"/>
      <c r="U39" s="109"/>
      <c r="V39" s="109"/>
      <c r="W39" s="108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 t="s">
        <v>122</v>
      </c>
      <c r="O40" s="28">
        <v>4.53507E8</v>
      </c>
      <c r="P40" s="8"/>
      <c r="Q40" s="91"/>
      <c r="R40" s="91"/>
      <c r="S40" s="92"/>
      <c r="T40" s="93"/>
      <c r="U40" s="93"/>
      <c r="V40" s="92"/>
      <c r="W40" s="94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9" t="s">
        <v>90</v>
      </c>
      <c r="T41" s="70">
        <f t="shared" ref="T41:V41" si="1">sum(T29:T40)</f>
        <v>188</v>
      </c>
      <c r="U41" s="70">
        <f t="shared" si="1"/>
        <v>13182951000</v>
      </c>
      <c r="V41" s="70">
        <f t="shared" si="1"/>
        <v>727026000</v>
      </c>
      <c r="W41" s="4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"/>
      <c r="O42" s="8" t="s">
        <v>123</v>
      </c>
      <c r="P42" s="1"/>
      <c r="R42" s="1"/>
      <c r="S42" s="1"/>
      <c r="T42" s="1"/>
      <c r="U42" s="1"/>
      <c r="V42" s="1"/>
      <c r="W42" s="79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10" t="s">
        <v>124</v>
      </c>
      <c r="O43" s="111">
        <v>5.034448E9</v>
      </c>
      <c r="P43" s="1"/>
      <c r="R43" s="1"/>
      <c r="S43" s="1"/>
      <c r="T43" s="1"/>
      <c r="U43" s="1"/>
      <c r="V43" s="1"/>
      <c r="W43" s="79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12" t="s">
        <v>125</v>
      </c>
      <c r="O44" s="111">
        <v>5.084902E9</v>
      </c>
      <c r="P44" s="1"/>
      <c r="R44" s="1"/>
      <c r="S44" s="1"/>
      <c r="T44" s="1"/>
      <c r="U44" s="1"/>
      <c r="V44" s="1"/>
      <c r="W44" s="79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98" t="s">
        <v>126</v>
      </c>
      <c r="O45" s="111">
        <f>406397000+111214000</f>
        <v>517611000</v>
      </c>
      <c r="P45" s="1"/>
      <c r="R45" s="1"/>
      <c r="S45" s="1"/>
      <c r="T45" s="1"/>
      <c r="U45" s="1"/>
      <c r="V45" s="1"/>
      <c r="W45" s="79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99" t="s">
        <v>127</v>
      </c>
      <c r="O46" s="111">
        <v>4.06397E8</v>
      </c>
      <c r="P46" s="1"/>
      <c r="R46" s="1"/>
      <c r="S46" s="1"/>
      <c r="T46" s="1"/>
      <c r="U46" s="1"/>
      <c r="V46" s="1"/>
      <c r="W46" s="79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9" t="s">
        <v>128</v>
      </c>
      <c r="O47" s="111">
        <v>4.17743E8</v>
      </c>
      <c r="P47" s="1"/>
      <c r="R47" s="1"/>
      <c r="S47" s="1"/>
      <c r="T47" s="1"/>
      <c r="U47" s="1"/>
      <c r="V47" s="1"/>
      <c r="W47" s="79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99" t="s">
        <v>129</v>
      </c>
      <c r="O48" s="78">
        <v>9.9868E7</v>
      </c>
      <c r="P48" s="1"/>
      <c r="R48" s="1"/>
      <c r="S48" s="1"/>
      <c r="T48" s="1"/>
      <c r="U48" s="1"/>
      <c r="V48" s="1"/>
      <c r="W48" s="79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130</v>
      </c>
      <c r="O49" s="78">
        <v>5.066733E9</v>
      </c>
      <c r="R49" s="1"/>
      <c r="S49" s="1"/>
      <c r="T49" s="1"/>
      <c r="U49" s="1"/>
      <c r="V49" s="1"/>
      <c r="W49" s="79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R50" s="1"/>
      <c r="S50" s="1"/>
      <c r="T50" s="1"/>
      <c r="U50" s="1"/>
      <c r="V50" s="1"/>
      <c r="W50" s="79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R51" s="1"/>
      <c r="S51" s="1"/>
      <c r="T51" s="1"/>
      <c r="U51" s="1"/>
      <c r="V51" s="1"/>
      <c r="W51" s="79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R52" s="1"/>
      <c r="S52" s="1"/>
      <c r="T52" s="1"/>
      <c r="U52" s="1"/>
      <c r="V52" s="1"/>
      <c r="W52" s="79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R53" s="1"/>
      <c r="S53" s="1"/>
      <c r="T53" s="1"/>
      <c r="U53" s="1"/>
      <c r="V53" s="1"/>
      <c r="W53" s="79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R54" s="1"/>
      <c r="S54" s="1"/>
      <c r="T54" s="1"/>
      <c r="U54" s="1"/>
      <c r="V54" s="1"/>
      <c r="W54" s="79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R55" s="1"/>
      <c r="S55" s="1"/>
      <c r="T55" s="1"/>
      <c r="U55" s="1"/>
      <c r="V55" s="1"/>
      <c r="W55" s="79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R56" s="1"/>
      <c r="S56" s="1"/>
      <c r="T56" s="1"/>
      <c r="U56" s="1"/>
      <c r="V56" s="1"/>
      <c r="W56" s="79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R57" s="1"/>
      <c r="S57" s="1"/>
      <c r="T57" s="1"/>
      <c r="U57" s="1"/>
      <c r="V57" s="1"/>
      <c r="W57" s="79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R58" s="1"/>
      <c r="S58" s="1"/>
      <c r="T58" s="1"/>
      <c r="U58" s="1"/>
      <c r="V58" s="1"/>
      <c r="W58" s="79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R59" s="1"/>
      <c r="S59" s="1"/>
      <c r="T59" s="1"/>
      <c r="U59" s="1"/>
      <c r="V59" s="1"/>
      <c r="W59" s="79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R60" s="1"/>
      <c r="S60" s="1"/>
      <c r="T60" s="1"/>
      <c r="U60" s="1"/>
      <c r="V60" s="1"/>
      <c r="W60" s="79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R61" s="1"/>
      <c r="S61" s="1"/>
      <c r="T61" s="1"/>
      <c r="U61" s="1"/>
      <c r="V61" s="1"/>
      <c r="W61" s="79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R62" s="1"/>
      <c r="S62" s="1"/>
      <c r="T62" s="1"/>
      <c r="U62" s="1"/>
      <c r="V62" s="1"/>
      <c r="W62" s="79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R63" s="1"/>
      <c r="S63" s="1"/>
      <c r="T63" s="1"/>
      <c r="U63" s="1"/>
      <c r="V63" s="1"/>
      <c r="W63" s="79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R64" s="1"/>
      <c r="S64" s="1"/>
      <c r="T64" s="1"/>
      <c r="U64" s="1"/>
      <c r="V64" s="1"/>
      <c r="W64" s="79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R65" s="1"/>
      <c r="S65" s="1"/>
      <c r="T65" s="1"/>
      <c r="U65" s="1"/>
      <c r="V65" s="1"/>
      <c r="W65" s="79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Q66" s="1"/>
      <c r="R66" s="1"/>
      <c r="S66" s="1"/>
      <c r="T66" s="1"/>
      <c r="U66" s="1"/>
      <c r="V66" s="1"/>
      <c r="W66" s="79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Q67" s="1"/>
      <c r="R67" s="1"/>
      <c r="S67" s="1"/>
      <c r="T67" s="1"/>
      <c r="U67" s="1"/>
      <c r="V67" s="1"/>
      <c r="W67" s="79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Q68" s="1"/>
      <c r="R68" s="1"/>
      <c r="S68" s="1"/>
      <c r="T68" s="1"/>
      <c r="U68" s="1"/>
      <c r="V68" s="1"/>
      <c r="W68" s="79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Q69" s="1"/>
      <c r="R69" s="1"/>
      <c r="S69" s="1"/>
      <c r="T69" s="1"/>
      <c r="U69" s="1"/>
      <c r="V69" s="1"/>
      <c r="W69" s="79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Q70" s="1"/>
      <c r="R70" s="1"/>
      <c r="S70" s="1"/>
      <c r="T70" s="1"/>
      <c r="U70" s="1"/>
      <c r="V70" s="1"/>
      <c r="W70" s="79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Q71" s="1"/>
      <c r="R71" s="1"/>
      <c r="S71" s="1"/>
      <c r="T71" s="1"/>
      <c r="U71" s="1"/>
      <c r="V71" s="1"/>
      <c r="W71" s="79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Q72" s="1"/>
      <c r="R72" s="1"/>
      <c r="S72" s="1"/>
      <c r="T72" s="1"/>
      <c r="U72" s="1"/>
      <c r="V72" s="1"/>
      <c r="W72" s="79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Q73" s="1"/>
      <c r="R73" s="1"/>
      <c r="S73" s="1"/>
      <c r="T73" s="1"/>
      <c r="U73" s="1"/>
      <c r="V73" s="1"/>
      <c r="W73" s="79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Q74" s="1"/>
      <c r="R74" s="1"/>
      <c r="S74" s="1"/>
      <c r="T74" s="1"/>
      <c r="U74" s="1"/>
      <c r="V74" s="1"/>
      <c r="W74" s="79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Q75" s="1"/>
      <c r="R75" s="1"/>
      <c r="S75" s="1"/>
      <c r="T75" s="1"/>
      <c r="U75" s="1"/>
      <c r="V75" s="1"/>
      <c r="W75" s="79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Q76" s="1"/>
      <c r="R76" s="1"/>
      <c r="S76" s="1"/>
      <c r="T76" s="1"/>
      <c r="U76" s="1"/>
      <c r="V76" s="1"/>
      <c r="W76" s="79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Q77" s="1"/>
      <c r="R77" s="1"/>
      <c r="S77" s="1"/>
      <c r="T77" s="1"/>
      <c r="U77" s="1"/>
      <c r="V77" s="1"/>
      <c r="W77" s="79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Q78" s="1"/>
      <c r="R78" s="1"/>
      <c r="S78" s="1"/>
      <c r="T78" s="1"/>
      <c r="U78" s="1"/>
      <c r="V78" s="1"/>
      <c r="W78" s="79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Q79" s="1"/>
      <c r="R79" s="1"/>
      <c r="S79" s="1"/>
      <c r="T79" s="1"/>
      <c r="U79" s="1"/>
      <c r="V79" s="1"/>
      <c r="W79" s="79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Q80" s="1"/>
      <c r="R80" s="1"/>
      <c r="S80" s="1"/>
      <c r="T80" s="1"/>
      <c r="U80" s="1"/>
      <c r="V80" s="1"/>
      <c r="W80" s="79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Q81" s="1"/>
      <c r="R81" s="1"/>
      <c r="S81" s="1"/>
      <c r="T81" s="1"/>
      <c r="U81" s="1"/>
      <c r="V81" s="1"/>
      <c r="W81" s="79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Q82" s="1"/>
      <c r="R82" s="1"/>
      <c r="S82" s="1"/>
      <c r="T82" s="1"/>
      <c r="U82" s="1"/>
      <c r="V82" s="1"/>
      <c r="W82" s="79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Q83" s="1"/>
      <c r="R83" s="1"/>
      <c r="S83" s="1"/>
      <c r="T83" s="1"/>
      <c r="U83" s="1"/>
      <c r="V83" s="1"/>
      <c r="W83" s="79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Q84" s="1"/>
      <c r="R84" s="1"/>
      <c r="S84" s="1"/>
      <c r="T84" s="1"/>
      <c r="U84" s="1"/>
      <c r="V84" s="1"/>
      <c r="W84" s="79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Q85" s="1"/>
      <c r="R85" s="1"/>
      <c r="S85" s="1"/>
      <c r="T85" s="1"/>
      <c r="U85" s="1"/>
      <c r="V85" s="1"/>
      <c r="W85" s="79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Q86" s="1"/>
      <c r="R86" s="1"/>
      <c r="S86" s="1"/>
      <c r="T86" s="1"/>
      <c r="U86" s="1"/>
      <c r="V86" s="1"/>
      <c r="W86" s="79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Q87" s="1"/>
      <c r="R87" s="1"/>
      <c r="S87" s="1"/>
      <c r="T87" s="1"/>
      <c r="U87" s="1"/>
      <c r="V87" s="1"/>
      <c r="W87" s="79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79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79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79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79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79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79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79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79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79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79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79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79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79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79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9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9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79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9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79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79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79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79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9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9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9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9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9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9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9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9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9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9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9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9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9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9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9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9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9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9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9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9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9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9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9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9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9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9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9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9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9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9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9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9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9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9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9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9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9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79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79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79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79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79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79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79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79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79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79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79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79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79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79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79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79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79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79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79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79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79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79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79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79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79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79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79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79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79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79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79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79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79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79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79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79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79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79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79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79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79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79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79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79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79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79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79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79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79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79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79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79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79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79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79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79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79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79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79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79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79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79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79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79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79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79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79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79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79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79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79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79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79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79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79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79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79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79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79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79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79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79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79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79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79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79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79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79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79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79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79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79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79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79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79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79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79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79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79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79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79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79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79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79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79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79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79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79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79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79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79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79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79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79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79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79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79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79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79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79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79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79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79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79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79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79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79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79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79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79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79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79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79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79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79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79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79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79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79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79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79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79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79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79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79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79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79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79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79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79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79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79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79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79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79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79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79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79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79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79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79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79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79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79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79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79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79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79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79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79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79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79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79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79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79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79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79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79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79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79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79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79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79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79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79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79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79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79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79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79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79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79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79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79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79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79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79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79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79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79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79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79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79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79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79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79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79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79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79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79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79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9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9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9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9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79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79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79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79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9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79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79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79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79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79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79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79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79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79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79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79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79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79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79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79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79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79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79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79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79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79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79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79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79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79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79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79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79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79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79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79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79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79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79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79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79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79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79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79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79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79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79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79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79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79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79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79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79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79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79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79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79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79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79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79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79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79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79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79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79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79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79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79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79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79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79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79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79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79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79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79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79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79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79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79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79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79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79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79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79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79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79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79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79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79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79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79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79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79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79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79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79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79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79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79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79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79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79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79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79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79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79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79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79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79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79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79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79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79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79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79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79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79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79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79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79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79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79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79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79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79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79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79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79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79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79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79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79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79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79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79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79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79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79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79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79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79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79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79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79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79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79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79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79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79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79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79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79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79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79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79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79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79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79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79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79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79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79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79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79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79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79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79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79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79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79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79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79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79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79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79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79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79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79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79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79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79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79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79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79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79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79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79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79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79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79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79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79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79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79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79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79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79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79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79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79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79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79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79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79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79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79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79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79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79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79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79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79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79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79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79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79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79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79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79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79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79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79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79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79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79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79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79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79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79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79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79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79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79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79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79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79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79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79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79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79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79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79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79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79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79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79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79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79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79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79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79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79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79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79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79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79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79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79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79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79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79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79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79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79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79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79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79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79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79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79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79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79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79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79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79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79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79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79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79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79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79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79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79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79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79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79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79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79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79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79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79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79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79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79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79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79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79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79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79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79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79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79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79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79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79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79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79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79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79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79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79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79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79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79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79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79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79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79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79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79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79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79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79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79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79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79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79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79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79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79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79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79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79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79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79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79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79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79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79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79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79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79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79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79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79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79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79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79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79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79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79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79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79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79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79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79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79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79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79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79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79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79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79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79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79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79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79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79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79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79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79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79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79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79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79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79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79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79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79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79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79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79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79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79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79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79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79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79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79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79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79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79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79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79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79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79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79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79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79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79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79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79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79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79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79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79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79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79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79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79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79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79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79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79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79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79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79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79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79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79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79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79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79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79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79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79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79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79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79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79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79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79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79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79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79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79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79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79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79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79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79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79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79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79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79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79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79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79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79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79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79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79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79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79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79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79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79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79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79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79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79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79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79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79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79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79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79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79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79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79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79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79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79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79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79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79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79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79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79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79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79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79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79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79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79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79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79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79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79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79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79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79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79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79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79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79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79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79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79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79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79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79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79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79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79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79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79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79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79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79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79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79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79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79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79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79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79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79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79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79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79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79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79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79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79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79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79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79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79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79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79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79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79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79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79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79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79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79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79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79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79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79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79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79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79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79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79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79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79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79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79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79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79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79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79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79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79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79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79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79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79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79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79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79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79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79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79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79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79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79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79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79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79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79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79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79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79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79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79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79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79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79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79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79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79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79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79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79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79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79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79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79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79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79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79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79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79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79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79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79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79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79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79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79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79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79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"/>
      <c r="U969" s="1"/>
      <c r="V969" s="1"/>
      <c r="W969" s="79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"/>
      <c r="U970" s="1"/>
      <c r="V970" s="1"/>
      <c r="W970" s="79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"/>
      <c r="U971" s="1"/>
      <c r="V971" s="1"/>
      <c r="W971" s="79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"/>
      <c r="U972" s="1"/>
      <c r="V972" s="1"/>
      <c r="W972" s="79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"/>
      <c r="U973" s="1"/>
      <c r="V973" s="1"/>
      <c r="W973" s="79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X995" s="1"/>
      <c r="Y995" s="1"/>
      <c r="Z995" s="1"/>
      <c r="AA995" s="1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6:R25 R29:R37">
      <formula1>"Business Space, Life Sciences,Industrial,Logistics,Data Centers,Retail,Office"</formula1>
    </dataValidation>
    <dataValidation type="list" allowBlank="1" showErrorMessage="1" sqref="F6:F10">
      <formula1>"Sales &amp; Marketing,General &amp; Admin,R&amp;D,Salaries &amp; Benefits,Other expenses"</formula1>
    </dataValidation>
    <dataValidation type="list" allowBlank="1" showErrorMessage="1" sqref="Q6:Q25 Q29:Q37">
      <formula1>"Australia,Germany,Singapore,United States,United Kingdom/Europe,China,South Korea,Japan,Hong Kong,Vietnam,Malaysia,India"</formula1>
    </dataValidation>
    <dataValidation type="list" allowBlank="1" showErrorMessage="1" sqref="C6:C8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8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</dataValidations>
  <hyperlinks>
    <hyperlink r:id="rId1" ref="B1"/>
    <hyperlink r:id="rId2" ref="B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0.88"/>
    <col customWidth="1" min="18" max="18" width="18.88"/>
    <col customWidth="1" min="19" max="19" width="26.5"/>
    <col customWidth="1" min="20" max="20" width="11.0"/>
    <col customWidth="1" min="21" max="21" width="21.38"/>
    <col customWidth="1" min="22" max="22" width="18.88"/>
    <col customWidth="1" min="23" max="23" width="16.25"/>
    <col customWidth="1" min="24" max="27" width="26.5"/>
  </cols>
  <sheetData>
    <row r="1">
      <c r="A1" s="1" t="s">
        <v>0</v>
      </c>
      <c r="B1" s="2" t="s">
        <v>248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79"/>
      <c r="X1" s="1"/>
      <c r="Y1" s="1"/>
      <c r="Z1" s="1"/>
      <c r="AA1" s="1"/>
    </row>
    <row r="2">
      <c r="A2" s="1" t="s">
        <v>2</v>
      </c>
      <c r="B2" s="113" t="s">
        <v>249</v>
      </c>
      <c r="C2" s="1"/>
      <c r="D2" s="6" t="s">
        <v>4</v>
      </c>
      <c r="E2" s="84">
        <v>45747.0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79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1"/>
      <c r="W3" s="79"/>
      <c r="X3" s="1"/>
      <c r="Y3" s="9"/>
      <c r="Z3" s="9"/>
      <c r="AA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7.11833E8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1.40998E8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/>
      <c r="AA5" s="9"/>
    </row>
    <row r="6">
      <c r="A6" s="17" t="s">
        <v>26</v>
      </c>
      <c r="B6" s="18">
        <v>-1.80373E8</v>
      </c>
      <c r="C6" s="19" t="s">
        <v>27</v>
      </c>
      <c r="D6" s="28" t="s">
        <v>250</v>
      </c>
      <c r="E6" s="29">
        <v>6.81062E8</v>
      </c>
      <c r="F6" s="30" t="s">
        <v>29</v>
      </c>
      <c r="G6" s="31" t="s">
        <v>30</v>
      </c>
      <c r="H6" s="18">
        <v>-6.0107E7</v>
      </c>
      <c r="I6" s="8"/>
      <c r="J6" s="32" t="s">
        <v>251</v>
      </c>
      <c r="K6" s="32" t="s">
        <v>112</v>
      </c>
      <c r="L6" s="34">
        <v>6.0</v>
      </c>
      <c r="M6" s="1"/>
      <c r="N6" s="22" t="s">
        <v>33</v>
      </c>
      <c r="O6" s="23">
        <v>8.659198E9</v>
      </c>
      <c r="P6" s="1"/>
      <c r="Q6" s="42" t="s">
        <v>34</v>
      </c>
      <c r="R6" s="42" t="s">
        <v>252</v>
      </c>
      <c r="S6" s="35" t="s">
        <v>253</v>
      </c>
      <c r="T6" s="114"/>
      <c r="U6" s="114">
        <v>5.327E8</v>
      </c>
      <c r="V6" s="114">
        <v>5.1047E7</v>
      </c>
      <c r="W6" s="115">
        <v>97.1</v>
      </c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531460000</v>
      </c>
      <c r="C7" s="30" t="s">
        <v>48</v>
      </c>
      <c r="D7" s="32" t="s">
        <v>46</v>
      </c>
      <c r="E7" s="18">
        <v>3.0771E7</v>
      </c>
      <c r="F7" s="30" t="s">
        <v>29</v>
      </c>
      <c r="G7" s="31" t="s">
        <v>49</v>
      </c>
      <c r="H7" s="31">
        <v>-1055000.0</v>
      </c>
      <c r="I7" s="1"/>
      <c r="J7" s="32" t="s">
        <v>254</v>
      </c>
      <c r="K7" s="32" t="s">
        <v>112</v>
      </c>
      <c r="L7" s="41">
        <v>5.0</v>
      </c>
      <c r="M7" s="1"/>
      <c r="N7" s="42" t="s">
        <v>43</v>
      </c>
      <c r="O7" s="43">
        <f>sum(O5:O6)</f>
        <v>8800196000</v>
      </c>
      <c r="P7" s="1"/>
      <c r="Q7" s="42" t="s">
        <v>34</v>
      </c>
      <c r="R7" s="42" t="s">
        <v>255</v>
      </c>
      <c r="S7" s="35" t="s">
        <v>256</v>
      </c>
      <c r="T7" s="114"/>
      <c r="U7" s="114">
        <v>4.224E8</v>
      </c>
      <c r="V7" s="114">
        <v>4.1922E7</v>
      </c>
      <c r="W7" s="115">
        <v>100.0</v>
      </c>
      <c r="X7" s="1"/>
      <c r="Y7" s="17" t="s">
        <v>46</v>
      </c>
      <c r="Z7" s="28"/>
      <c r="AA7" s="9"/>
    </row>
    <row r="8">
      <c r="A8" s="17" t="s">
        <v>47</v>
      </c>
      <c r="B8" s="18">
        <v>-6.6465E7</v>
      </c>
      <c r="C8" s="19"/>
      <c r="D8" s="32"/>
      <c r="E8" s="18"/>
      <c r="F8" s="30" t="s">
        <v>29</v>
      </c>
      <c r="G8" s="31" t="s">
        <v>183</v>
      </c>
      <c r="H8" s="31">
        <v>-5303000.0</v>
      </c>
      <c r="I8" s="1"/>
      <c r="J8" s="45" t="s">
        <v>257</v>
      </c>
      <c r="K8" s="32" t="s">
        <v>112</v>
      </c>
      <c r="L8" s="34">
        <v>3.7</v>
      </c>
      <c r="M8" s="1"/>
      <c r="N8" s="42" t="s">
        <v>51</v>
      </c>
      <c r="O8" s="23">
        <v>7.48785E8</v>
      </c>
      <c r="P8" s="1"/>
      <c r="Q8" s="42" t="s">
        <v>173</v>
      </c>
      <c r="R8" s="42" t="s">
        <v>157</v>
      </c>
      <c r="S8" s="35" t="s">
        <v>258</v>
      </c>
      <c r="T8" s="116"/>
      <c r="U8" s="116">
        <v>292468.0</v>
      </c>
      <c r="V8" s="116">
        <v>35753.0</v>
      </c>
      <c r="W8" s="115">
        <v>67.1</v>
      </c>
      <c r="X8" s="1"/>
      <c r="Y8" s="17" t="s">
        <v>53</v>
      </c>
      <c r="Z8" s="46">
        <f>sum(Z5:Z7)</f>
        <v>0</v>
      </c>
      <c r="AA8" s="9"/>
    </row>
    <row r="9">
      <c r="A9" s="17" t="s">
        <v>54</v>
      </c>
      <c r="B9" s="40">
        <f>sum(B7:B8)</f>
        <v>464995000</v>
      </c>
      <c r="C9" s="19"/>
      <c r="D9" s="44"/>
      <c r="E9" s="47"/>
      <c r="F9" s="19"/>
      <c r="G9" s="31"/>
      <c r="H9" s="31"/>
      <c r="I9" s="1"/>
      <c r="J9" s="45" t="s">
        <v>259</v>
      </c>
      <c r="K9" s="32" t="s">
        <v>112</v>
      </c>
      <c r="L9" s="34">
        <v>2.9</v>
      </c>
      <c r="M9" s="1"/>
      <c r="N9" s="42" t="s">
        <v>58</v>
      </c>
      <c r="O9" s="23">
        <v>2.858956E9</v>
      </c>
      <c r="P9" s="1"/>
      <c r="Q9" s="42" t="s">
        <v>173</v>
      </c>
      <c r="R9" s="42" t="s">
        <v>157</v>
      </c>
      <c r="S9" s="35" t="s">
        <v>260</v>
      </c>
      <c r="T9" s="116"/>
      <c r="U9" s="116">
        <v>353900.0</v>
      </c>
      <c r="V9" s="116">
        <v>29583.0</v>
      </c>
      <c r="W9" s="115">
        <v>100.0</v>
      </c>
      <c r="X9" s="1"/>
      <c r="Y9" s="9"/>
      <c r="Z9" s="9"/>
      <c r="AA9" s="9"/>
    </row>
    <row r="10">
      <c r="A10" s="17" t="s">
        <v>60</v>
      </c>
      <c r="B10" s="18">
        <v>-8.9923E7</v>
      </c>
      <c r="C10" s="19"/>
      <c r="D10" s="47"/>
      <c r="E10" s="47"/>
      <c r="F10" s="48"/>
      <c r="G10" s="49"/>
      <c r="H10" s="31"/>
      <c r="I10" s="1"/>
      <c r="J10" s="33" t="s">
        <v>261</v>
      </c>
      <c r="K10" s="32" t="s">
        <v>112</v>
      </c>
      <c r="L10" s="34">
        <v>2.4</v>
      </c>
      <c r="M10" s="1"/>
      <c r="N10" s="42" t="s">
        <v>64</v>
      </c>
      <c r="O10" s="43">
        <f>sum(O8:O9)</f>
        <v>3607741000</v>
      </c>
      <c r="P10" s="1"/>
      <c r="Q10" s="42" t="s">
        <v>34</v>
      </c>
      <c r="R10" s="42" t="s">
        <v>255</v>
      </c>
      <c r="S10" s="35" t="s">
        <v>262</v>
      </c>
      <c r="T10" s="114"/>
      <c r="U10" s="114">
        <v>2.15E8</v>
      </c>
      <c r="V10" s="114">
        <v>2.337E7</v>
      </c>
      <c r="W10" s="115">
        <v>99.7</v>
      </c>
      <c r="X10" s="1"/>
      <c r="Y10" s="9"/>
      <c r="Z10" s="9"/>
      <c r="AA10" s="9"/>
    </row>
    <row r="11">
      <c r="A11" s="17" t="s">
        <v>67</v>
      </c>
      <c r="B11" s="40">
        <f>sum(B9:B10)</f>
        <v>375072000</v>
      </c>
      <c r="C11" s="19"/>
      <c r="D11" s="47"/>
      <c r="E11" s="47"/>
      <c r="F11" s="19"/>
      <c r="G11" s="31"/>
      <c r="H11" s="31"/>
      <c r="I11" s="1"/>
      <c r="J11" s="32" t="s">
        <v>263</v>
      </c>
      <c r="K11" s="45" t="s">
        <v>42</v>
      </c>
      <c r="L11" s="41">
        <v>2.4</v>
      </c>
      <c r="M11" s="9"/>
      <c r="N11" s="42" t="s">
        <v>70</v>
      </c>
      <c r="O11" s="43">
        <f>O7-O10</f>
        <v>5192455000</v>
      </c>
      <c r="P11" s="9"/>
      <c r="Q11" s="42" t="s">
        <v>34</v>
      </c>
      <c r="R11" s="42" t="s">
        <v>264</v>
      </c>
      <c r="S11" s="35" t="s">
        <v>265</v>
      </c>
      <c r="T11" s="114"/>
      <c r="U11" s="114">
        <v>2.741E8</v>
      </c>
      <c r="V11" s="114">
        <v>2.3314E7</v>
      </c>
      <c r="W11" s="115">
        <v>82.1</v>
      </c>
      <c r="X11" s="1"/>
      <c r="Y11" s="9"/>
      <c r="Z11" s="9"/>
      <c r="AA11" s="9"/>
    </row>
    <row r="12">
      <c r="A12" s="17" t="s">
        <v>72</v>
      </c>
      <c r="B12" s="50">
        <v>-2.9631E7</v>
      </c>
      <c r="C12" s="19"/>
      <c r="D12" s="47"/>
      <c r="E12" s="47"/>
      <c r="F12" s="48"/>
      <c r="G12" s="49"/>
      <c r="H12" s="31"/>
      <c r="I12" s="1"/>
      <c r="J12" s="32" t="s">
        <v>266</v>
      </c>
      <c r="K12" s="32" t="s">
        <v>112</v>
      </c>
      <c r="L12" s="41">
        <v>2.3</v>
      </c>
      <c r="M12" s="9"/>
      <c r="N12" s="9"/>
      <c r="O12" s="9"/>
      <c r="P12" s="9"/>
      <c r="Q12" s="42" t="s">
        <v>34</v>
      </c>
      <c r="R12" s="42" t="s">
        <v>267</v>
      </c>
      <c r="S12" s="35" t="s">
        <v>268</v>
      </c>
      <c r="T12" s="114"/>
      <c r="U12" s="114">
        <v>2.229E8</v>
      </c>
      <c r="V12" s="114">
        <v>2.0632E7</v>
      </c>
      <c r="W12" s="115">
        <v>98.2</v>
      </c>
      <c r="X12" s="1"/>
      <c r="Y12" s="9"/>
      <c r="Z12" s="9"/>
      <c r="AA12" s="9"/>
    </row>
    <row r="13">
      <c r="A13" s="17" t="s">
        <v>76</v>
      </c>
      <c r="B13" s="40">
        <f>SUM(B11:B12)</f>
        <v>345441000</v>
      </c>
      <c r="C13" s="19"/>
      <c r="D13" s="47"/>
      <c r="E13" s="47"/>
      <c r="F13" s="19"/>
      <c r="G13" s="47"/>
      <c r="H13" s="47"/>
      <c r="I13" s="1"/>
      <c r="J13" s="32" t="s">
        <v>269</v>
      </c>
      <c r="K13" s="32" t="s">
        <v>112</v>
      </c>
      <c r="L13" s="41">
        <v>1.8</v>
      </c>
      <c r="M13" s="9"/>
      <c r="N13" s="42" t="s">
        <v>79</v>
      </c>
      <c r="O13" s="51">
        <f>O5-O8</f>
        <v>-607787000</v>
      </c>
      <c r="P13" s="9"/>
      <c r="Q13" s="42" t="s">
        <v>199</v>
      </c>
      <c r="R13" s="42" t="s">
        <v>157</v>
      </c>
      <c r="S13" s="35" t="s">
        <v>270</v>
      </c>
      <c r="T13" s="114"/>
      <c r="U13" s="114">
        <v>3.77737E8</v>
      </c>
      <c r="V13" s="114">
        <v>2.0627E7</v>
      </c>
      <c r="W13" s="115">
        <v>100.0</v>
      </c>
      <c r="X13" s="1"/>
      <c r="Y13" s="9"/>
      <c r="Z13" s="9"/>
      <c r="AA13" s="9"/>
    </row>
    <row r="14">
      <c r="A14" s="17" t="s">
        <v>81</v>
      </c>
      <c r="B14" s="50">
        <v>-282000.0</v>
      </c>
      <c r="C14" s="19"/>
      <c r="D14" s="47"/>
      <c r="E14" s="47"/>
      <c r="F14" s="19"/>
      <c r="G14" s="47"/>
      <c r="H14" s="47"/>
      <c r="I14" s="1"/>
      <c r="J14" s="32" t="s">
        <v>271</v>
      </c>
      <c r="K14" s="32" t="s">
        <v>112</v>
      </c>
      <c r="L14" s="41">
        <v>1.6</v>
      </c>
      <c r="M14" s="9"/>
      <c r="P14" s="9"/>
      <c r="Q14" s="42" t="s">
        <v>173</v>
      </c>
      <c r="R14" s="42" t="s">
        <v>157</v>
      </c>
      <c r="S14" s="35" t="s">
        <v>272</v>
      </c>
      <c r="T14" s="114"/>
      <c r="U14" s="114">
        <v>2.01656E8</v>
      </c>
      <c r="V14" s="114">
        <v>1.9809E7</v>
      </c>
      <c r="W14" s="115">
        <v>100.0</v>
      </c>
      <c r="X14" s="1"/>
      <c r="Y14" s="9"/>
      <c r="Z14" s="9"/>
      <c r="AA14" s="9"/>
    </row>
    <row r="15">
      <c r="A15" s="42" t="s">
        <v>85</v>
      </c>
      <c r="B15" s="50">
        <v>-9450000.0</v>
      </c>
      <c r="C15" s="19"/>
      <c r="D15" s="47"/>
      <c r="E15" s="47"/>
      <c r="F15" s="19"/>
      <c r="G15" s="47"/>
      <c r="H15" s="47"/>
      <c r="I15" s="1"/>
      <c r="J15" s="32" t="s">
        <v>273</v>
      </c>
      <c r="K15" s="33" t="s">
        <v>46</v>
      </c>
      <c r="L15" s="41">
        <v>1.4</v>
      </c>
      <c r="M15" s="1"/>
      <c r="N15" s="8" t="s">
        <v>87</v>
      </c>
      <c r="O15" s="9"/>
      <c r="P15" s="1"/>
      <c r="Q15" s="42" t="s">
        <v>34</v>
      </c>
      <c r="R15" s="42" t="s">
        <v>255</v>
      </c>
      <c r="S15" s="35" t="s">
        <v>274</v>
      </c>
      <c r="T15" s="114"/>
      <c r="U15" s="114">
        <v>2.01E8</v>
      </c>
      <c r="V15" s="114">
        <v>1.8896E7</v>
      </c>
      <c r="W15" s="115">
        <v>86.5</v>
      </c>
      <c r="X15" s="1"/>
      <c r="Y15" s="9"/>
      <c r="Z15" s="9"/>
      <c r="AA15" s="9"/>
    </row>
    <row r="16">
      <c r="A16" s="42" t="s">
        <v>89</v>
      </c>
      <c r="B16" s="40">
        <f>SUM(B13:B15)</f>
        <v>335709000</v>
      </c>
      <c r="C16" s="19"/>
      <c r="D16" s="47"/>
      <c r="E16" s="47"/>
      <c r="F16" s="19"/>
      <c r="G16" s="47"/>
      <c r="H16" s="47"/>
      <c r="I16" s="1"/>
      <c r="J16" s="53" t="s">
        <v>90</v>
      </c>
      <c r="K16" s="53"/>
      <c r="L16" s="54">
        <f>SUM(L6:L15)</f>
        <v>29.5</v>
      </c>
      <c r="M16" s="1"/>
      <c r="N16" s="42" t="s">
        <v>91</v>
      </c>
      <c r="O16" s="23">
        <v>4.8826E8</v>
      </c>
      <c r="P16" s="1"/>
      <c r="Q16" s="42" t="s">
        <v>173</v>
      </c>
      <c r="R16" s="42" t="s">
        <v>157</v>
      </c>
      <c r="S16" s="35" t="s">
        <v>275</v>
      </c>
      <c r="T16" s="114"/>
      <c r="U16" s="114">
        <v>3.24519E8</v>
      </c>
      <c r="V16" s="114">
        <v>1.7925E7</v>
      </c>
      <c r="W16" s="115">
        <v>100.0</v>
      </c>
      <c r="X16" s="1"/>
      <c r="Y16" s="9"/>
      <c r="Z16" s="9"/>
      <c r="AA16" s="9"/>
    </row>
    <row r="17">
      <c r="A17" s="17" t="s">
        <v>93</v>
      </c>
      <c r="B17" s="81">
        <v>-1.03568E8</v>
      </c>
      <c r="C17" s="19"/>
      <c r="D17" s="47"/>
      <c r="E17" s="47"/>
      <c r="F17" s="19"/>
      <c r="G17" s="47"/>
      <c r="H17" s="47"/>
      <c r="I17" s="1"/>
      <c r="J17" s="1"/>
      <c r="K17" s="1"/>
      <c r="L17" s="1"/>
      <c r="M17" s="9"/>
      <c r="N17" s="42" t="s">
        <v>94</v>
      </c>
      <c r="O17" s="55">
        <v>-2.07238E8</v>
      </c>
      <c r="P17" s="1"/>
      <c r="Q17" s="42" t="s">
        <v>34</v>
      </c>
      <c r="R17" s="42" t="s">
        <v>255</v>
      </c>
      <c r="S17" s="35" t="s">
        <v>276</v>
      </c>
      <c r="T17" s="114"/>
      <c r="U17" s="114">
        <v>2.922E8</v>
      </c>
      <c r="V17" s="114">
        <v>1.4424E7</v>
      </c>
      <c r="W17" s="115">
        <v>52.5</v>
      </c>
      <c r="X17" s="1"/>
      <c r="Y17" s="9"/>
      <c r="Z17" s="9"/>
      <c r="AA17" s="9"/>
    </row>
    <row r="18">
      <c r="A18" s="17" t="s">
        <v>96</v>
      </c>
      <c r="B18" s="56">
        <f>B9</f>
        <v>464995000</v>
      </c>
      <c r="C18" s="19"/>
      <c r="D18" s="47"/>
      <c r="E18" s="47"/>
      <c r="F18" s="19"/>
      <c r="G18" s="47"/>
      <c r="H18" s="47"/>
      <c r="I18" s="1"/>
      <c r="J18" s="14" t="s">
        <v>97</v>
      </c>
      <c r="K18" s="15"/>
      <c r="L18" s="16"/>
      <c r="M18" s="1"/>
      <c r="N18" s="42" t="s">
        <v>98</v>
      </c>
      <c r="O18" s="55">
        <v>-2.93471E8</v>
      </c>
      <c r="P18" s="1"/>
      <c r="Q18" s="42" t="s">
        <v>34</v>
      </c>
      <c r="R18" s="42" t="s">
        <v>255</v>
      </c>
      <c r="S18" s="35" t="s">
        <v>277</v>
      </c>
      <c r="T18" s="114"/>
      <c r="U18" s="114">
        <v>9.64E7</v>
      </c>
      <c r="V18" s="114">
        <v>1.3975E7</v>
      </c>
      <c r="W18" s="115">
        <v>99.5</v>
      </c>
      <c r="X18" s="1"/>
      <c r="Y18" s="9"/>
      <c r="Z18" s="9"/>
      <c r="AA18" s="9"/>
    </row>
    <row r="19">
      <c r="A19" s="17" t="s">
        <v>100</v>
      </c>
      <c r="B19" s="81">
        <f>-31000-16628000</f>
        <v>-16659000</v>
      </c>
      <c r="D19" s="47"/>
      <c r="E19" s="47"/>
      <c r="F19" s="19"/>
      <c r="G19" s="47"/>
      <c r="H19" s="47"/>
      <c r="I19" s="1"/>
      <c r="J19" s="32" t="s">
        <v>112</v>
      </c>
      <c r="K19" s="32"/>
      <c r="L19" s="82">
        <v>31.25</v>
      </c>
      <c r="M19" s="1"/>
      <c r="N19" s="42" t="s">
        <v>101</v>
      </c>
      <c r="O19" s="43">
        <f>sum(O16:O18)</f>
        <v>-12449000</v>
      </c>
      <c r="P19" s="1"/>
      <c r="Q19" s="42" t="s">
        <v>34</v>
      </c>
      <c r="R19" s="42" t="s">
        <v>267</v>
      </c>
      <c r="S19" s="35" t="s">
        <v>278</v>
      </c>
      <c r="T19" s="114"/>
      <c r="U19" s="114">
        <v>1.541E8</v>
      </c>
      <c r="V19" s="114">
        <v>1.378E7</v>
      </c>
      <c r="W19" s="115">
        <v>98.2</v>
      </c>
      <c r="X19" s="1"/>
      <c r="Y19" s="9"/>
      <c r="Z19" s="9"/>
      <c r="AA19" s="9"/>
    </row>
    <row r="20">
      <c r="A20" s="17" t="s">
        <v>103</v>
      </c>
      <c r="B20" s="56">
        <f>B11-B17-B19</f>
        <v>495299000</v>
      </c>
      <c r="C20" s="30"/>
      <c r="D20" s="47"/>
      <c r="E20" s="47"/>
      <c r="F20" s="19"/>
      <c r="G20" s="47"/>
      <c r="H20" s="47"/>
      <c r="I20" s="1"/>
      <c r="J20" s="45" t="s">
        <v>181</v>
      </c>
      <c r="K20" s="44"/>
      <c r="L20" s="41">
        <v>27.19</v>
      </c>
      <c r="M20" s="1"/>
      <c r="N20" s="57"/>
      <c r="O20" s="9"/>
      <c r="P20" s="1"/>
      <c r="Q20" s="42" t="s">
        <v>34</v>
      </c>
      <c r="R20" s="42" t="s">
        <v>264</v>
      </c>
      <c r="S20" s="35" t="s">
        <v>279</v>
      </c>
      <c r="T20" s="114"/>
      <c r="U20" s="114">
        <v>1.389E8</v>
      </c>
      <c r="V20" s="114">
        <v>1.3773E7</v>
      </c>
      <c r="W20" s="115">
        <v>84.3</v>
      </c>
      <c r="X20" s="1"/>
      <c r="Y20" s="9"/>
      <c r="Z20" s="9"/>
      <c r="AA20" s="9"/>
    </row>
    <row r="21">
      <c r="A21" s="42" t="s">
        <v>105</v>
      </c>
      <c r="B21" s="28"/>
      <c r="C21" s="19"/>
      <c r="D21" s="47"/>
      <c r="E21" s="47"/>
      <c r="F21" s="19"/>
      <c r="G21" s="47"/>
      <c r="H21" s="47"/>
      <c r="I21" s="1"/>
      <c r="J21" s="45" t="s">
        <v>42</v>
      </c>
      <c r="K21" s="44"/>
      <c r="L21" s="34">
        <v>14.51</v>
      </c>
      <c r="M21" s="1"/>
      <c r="P21" s="1"/>
      <c r="Q21" s="42" t="s">
        <v>34</v>
      </c>
      <c r="R21" s="42" t="s">
        <v>255</v>
      </c>
      <c r="S21" s="35" t="s">
        <v>280</v>
      </c>
      <c r="T21" s="114"/>
      <c r="U21" s="114">
        <v>8.88E7</v>
      </c>
      <c r="V21" s="114">
        <v>1.3524E7</v>
      </c>
      <c r="W21" s="115">
        <v>93.3</v>
      </c>
      <c r="X21" s="1"/>
      <c r="Y21" s="9"/>
      <c r="Z21" s="9"/>
      <c r="AA21" s="9"/>
    </row>
    <row r="22">
      <c r="A22" s="42" t="s">
        <v>107</v>
      </c>
      <c r="B22" s="56">
        <f>B13-B19-B21</f>
        <v>362100000</v>
      </c>
      <c r="C22" s="19"/>
      <c r="D22" s="47"/>
      <c r="E22" s="47"/>
      <c r="F22" s="19"/>
      <c r="G22" s="47"/>
      <c r="H22" s="47"/>
      <c r="I22" s="1"/>
      <c r="J22" s="45" t="s">
        <v>57</v>
      </c>
      <c r="K22" s="44"/>
      <c r="L22" s="34">
        <v>15.14</v>
      </c>
      <c r="M22" s="1"/>
      <c r="Q22" s="42" t="s">
        <v>34</v>
      </c>
      <c r="R22" s="42" t="s">
        <v>267</v>
      </c>
      <c r="S22" s="35" t="s">
        <v>281</v>
      </c>
      <c r="T22" s="114"/>
      <c r="U22" s="114">
        <v>1.286E8</v>
      </c>
      <c r="V22" s="114">
        <v>1.2866E7</v>
      </c>
      <c r="W22" s="115">
        <v>99.6</v>
      </c>
      <c r="X22" s="1"/>
      <c r="Y22" s="9"/>
      <c r="Z22" s="9"/>
      <c r="AA22" s="9"/>
    </row>
    <row r="23">
      <c r="A23" s="9"/>
      <c r="B23" s="9"/>
      <c r="C23" s="19"/>
      <c r="D23" s="47"/>
      <c r="E23" s="47"/>
      <c r="F23" s="19"/>
      <c r="G23" s="47"/>
      <c r="H23" s="47"/>
      <c r="I23" s="1"/>
      <c r="J23" s="33" t="s">
        <v>46</v>
      </c>
      <c r="K23" s="44"/>
      <c r="L23" s="34">
        <v>11.91</v>
      </c>
      <c r="M23" s="1"/>
      <c r="Q23" s="42" t="s">
        <v>173</v>
      </c>
      <c r="R23" s="42" t="s">
        <v>157</v>
      </c>
      <c r="S23" s="28" t="s">
        <v>282</v>
      </c>
      <c r="T23" s="114"/>
      <c r="U23" s="114">
        <v>6.891E7</v>
      </c>
      <c r="V23" s="114">
        <v>1.2177E7</v>
      </c>
      <c r="W23" s="117">
        <v>100.0</v>
      </c>
      <c r="X23" s="1"/>
      <c r="Y23" s="9"/>
      <c r="Z23" s="9"/>
      <c r="AA23" s="9"/>
    </row>
    <row r="24">
      <c r="A24" s="9"/>
      <c r="B24" s="9"/>
      <c r="C24" s="19"/>
      <c r="D24" s="47"/>
      <c r="E24" s="47"/>
      <c r="F24" s="19"/>
      <c r="G24" s="47"/>
      <c r="H24" s="47"/>
      <c r="I24" s="1"/>
      <c r="J24" s="32"/>
      <c r="K24" s="44"/>
      <c r="L24" s="41"/>
      <c r="M24" s="1"/>
      <c r="Q24" s="42" t="s">
        <v>34</v>
      </c>
      <c r="R24" s="42" t="s">
        <v>255</v>
      </c>
      <c r="S24" s="35" t="s">
        <v>283</v>
      </c>
      <c r="T24" s="114"/>
      <c r="U24" s="114">
        <v>1.267E8</v>
      </c>
      <c r="V24" s="114">
        <v>1.2292E7</v>
      </c>
      <c r="W24" s="115">
        <v>95.5</v>
      </c>
      <c r="X24" s="1"/>
      <c r="Y24" s="9"/>
      <c r="Z24" s="9"/>
      <c r="AA24" s="9"/>
    </row>
    <row r="25">
      <c r="A25" s="9"/>
      <c r="B25" s="9"/>
      <c r="C25" s="19"/>
      <c r="D25" s="47"/>
      <c r="E25" s="47"/>
      <c r="F25" s="19"/>
      <c r="G25" s="47"/>
      <c r="H25" s="47"/>
      <c r="I25" s="1"/>
      <c r="J25" s="32"/>
      <c r="K25" s="44"/>
      <c r="L25" s="41"/>
      <c r="M25" s="1"/>
      <c r="Q25" s="42" t="s">
        <v>34</v>
      </c>
      <c r="R25" s="42" t="s">
        <v>157</v>
      </c>
      <c r="S25" s="35" t="s">
        <v>284</v>
      </c>
      <c r="T25" s="114"/>
      <c r="U25" s="114">
        <v>7.33E7</v>
      </c>
      <c r="V25" s="114">
        <v>1.2177E7</v>
      </c>
      <c r="W25" s="115">
        <v>100.0</v>
      </c>
      <c r="X25" s="1"/>
      <c r="Y25" s="9"/>
      <c r="Z25" s="9"/>
      <c r="AA25" s="9"/>
    </row>
    <row r="26">
      <c r="A26" s="1"/>
      <c r="B26" s="57"/>
      <c r="C26" s="19"/>
      <c r="D26" s="47"/>
      <c r="E26" s="47"/>
      <c r="F26" s="19"/>
      <c r="G26" s="47"/>
      <c r="H26" s="47"/>
      <c r="I26" s="1"/>
      <c r="J26" s="32"/>
      <c r="K26" s="44"/>
      <c r="L26" s="41"/>
      <c r="M26" s="1"/>
      <c r="N26" s="9"/>
      <c r="O26" s="9"/>
      <c r="P26" s="57"/>
      <c r="X26" s="1"/>
      <c r="Y26" s="9"/>
      <c r="Z26" s="9"/>
      <c r="AA26" s="9"/>
    </row>
    <row r="27">
      <c r="A27" s="1"/>
      <c r="B27" s="57"/>
      <c r="C27" s="19"/>
      <c r="D27" s="47"/>
      <c r="E27" s="47"/>
      <c r="F27" s="19"/>
      <c r="G27" s="47"/>
      <c r="H27" s="47"/>
      <c r="I27" s="1"/>
      <c r="J27" s="32"/>
      <c r="K27" s="44"/>
      <c r="L27" s="41"/>
      <c r="M27" s="1"/>
      <c r="N27" s="9"/>
      <c r="O27" s="9"/>
      <c r="P27" s="57"/>
      <c r="Q27" s="58" t="s">
        <v>114</v>
      </c>
      <c r="R27" s="15"/>
      <c r="S27" s="15"/>
      <c r="T27" s="15"/>
      <c r="U27" s="15"/>
      <c r="V27" s="15"/>
      <c r="W27" s="16"/>
      <c r="X27" s="1"/>
      <c r="Y27" s="9"/>
      <c r="Z27" s="9"/>
      <c r="AA27" s="9"/>
    </row>
    <row r="28">
      <c r="A28" s="1"/>
      <c r="B28" s="57"/>
      <c r="C28" s="19"/>
      <c r="D28" s="47"/>
      <c r="E28" s="47"/>
      <c r="F28" s="19"/>
      <c r="G28" s="47"/>
      <c r="H28" s="47"/>
      <c r="I28" s="1"/>
      <c r="J28" s="32"/>
      <c r="K28" s="44"/>
      <c r="L28" s="41"/>
      <c r="M28" s="57"/>
      <c r="N28" s="9"/>
      <c r="O28" s="9"/>
      <c r="P28" s="9"/>
      <c r="Q28" s="59" t="s">
        <v>18</v>
      </c>
      <c r="R28" s="59" t="s">
        <v>19</v>
      </c>
      <c r="S28" s="59"/>
      <c r="T28" s="60" t="s">
        <v>115</v>
      </c>
      <c r="U28" s="60" t="s">
        <v>22</v>
      </c>
      <c r="V28" s="59" t="s">
        <v>23</v>
      </c>
      <c r="W28" s="61" t="s">
        <v>24</v>
      </c>
      <c r="X28" s="1"/>
      <c r="Y28" s="9"/>
      <c r="Z28" s="9"/>
      <c r="AA28" s="9"/>
    </row>
    <row r="29">
      <c r="A29" s="1"/>
      <c r="B29" s="1"/>
      <c r="C29" s="19"/>
      <c r="D29" s="47"/>
      <c r="E29" s="47"/>
      <c r="F29" s="19"/>
      <c r="G29" s="47"/>
      <c r="H29" s="47"/>
      <c r="I29" s="1"/>
      <c r="J29" s="53" t="s">
        <v>90</v>
      </c>
      <c r="K29" s="53"/>
      <c r="L29" s="54">
        <f>SUM(L19:L28)</f>
        <v>100</v>
      </c>
      <c r="M29" s="57"/>
      <c r="N29" s="9"/>
      <c r="O29" s="9"/>
      <c r="P29" s="9"/>
      <c r="Q29" s="42" t="s">
        <v>173</v>
      </c>
      <c r="R29" s="42" t="s">
        <v>157</v>
      </c>
      <c r="S29" s="28"/>
      <c r="T29" s="62">
        <v>43.0</v>
      </c>
      <c r="U29" s="62">
        <v>2.443901368E9</v>
      </c>
      <c r="V29" s="28">
        <v>1.81092336E8</v>
      </c>
      <c r="W29" s="85">
        <v>90.5</v>
      </c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4">
        <f>SUM(E6:E29)</f>
        <v>711833000</v>
      </c>
      <c r="F30" s="19"/>
      <c r="G30" s="19" t="s">
        <v>90</v>
      </c>
      <c r="H30" s="64">
        <f>SUM(H6:H29)</f>
        <v>-66465000</v>
      </c>
      <c r="I30" s="1"/>
      <c r="J30" s="1"/>
      <c r="K30" s="1"/>
      <c r="L30" s="1"/>
      <c r="M30" s="57"/>
      <c r="N30" s="9"/>
      <c r="O30" s="9"/>
      <c r="P30" s="9"/>
      <c r="Q30" s="42" t="s">
        <v>34</v>
      </c>
      <c r="R30" s="42" t="s">
        <v>252</v>
      </c>
      <c r="S30" s="28"/>
      <c r="T30" s="62">
        <v>1.0</v>
      </c>
      <c r="U30" s="114">
        <v>5.327E8</v>
      </c>
      <c r="V30" s="114">
        <v>5.1047E7</v>
      </c>
      <c r="W30" s="115">
        <v>97.1</v>
      </c>
      <c r="X30" s="1"/>
      <c r="Y30" s="9"/>
      <c r="Z30" s="9"/>
      <c r="AA30" s="9"/>
    </row>
    <row r="31">
      <c r="A31" s="1"/>
      <c r="B31" s="1"/>
      <c r="C31" s="19"/>
      <c r="D31" s="65" t="s">
        <v>116</v>
      </c>
      <c r="E31" s="66" t="str">
        <f>IF(B5=E30, "True", "False")</f>
        <v>True</v>
      </c>
      <c r="F31" s="19"/>
      <c r="G31" s="65" t="s">
        <v>116</v>
      </c>
      <c r="H31" s="66" t="str">
        <f>IF(B8=H30, "True", "False")</f>
        <v>True</v>
      </c>
      <c r="I31" s="1"/>
      <c r="J31" s="1"/>
      <c r="K31" s="1"/>
      <c r="L31" s="1"/>
      <c r="M31" s="57"/>
      <c r="N31" s="9"/>
      <c r="O31" s="9"/>
      <c r="P31" s="9"/>
      <c r="Q31" s="42" t="s">
        <v>34</v>
      </c>
      <c r="R31" s="42" t="s">
        <v>264</v>
      </c>
      <c r="S31" s="28"/>
      <c r="T31" s="62">
        <v>3.0</v>
      </c>
      <c r="U31" s="62">
        <v>5.331E8</v>
      </c>
      <c r="V31" s="28">
        <v>4.6118E7</v>
      </c>
      <c r="W31" s="85">
        <v>79.3</v>
      </c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7"/>
      <c r="N32" s="9"/>
      <c r="O32" s="9"/>
      <c r="P32" s="9"/>
      <c r="Q32" s="42" t="s">
        <v>34</v>
      </c>
      <c r="R32" s="42" t="s">
        <v>267</v>
      </c>
      <c r="S32" s="28"/>
      <c r="T32" s="62">
        <v>22.0</v>
      </c>
      <c r="U32" s="62">
        <v>1.4037E9</v>
      </c>
      <c r="V32" s="28">
        <v>1.65895E8</v>
      </c>
      <c r="W32" s="85">
        <v>98.0</v>
      </c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42" t="s">
        <v>34</v>
      </c>
      <c r="R33" s="42" t="s">
        <v>255</v>
      </c>
      <c r="S33" s="28"/>
      <c r="T33" s="62">
        <v>8.0</v>
      </c>
      <c r="U33" s="62">
        <v>1.5153E9</v>
      </c>
      <c r="V33" s="28">
        <v>1.48376E8</v>
      </c>
      <c r="W33" s="85">
        <v>91.0</v>
      </c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42" t="s">
        <v>34</v>
      </c>
      <c r="R34" s="42" t="s">
        <v>157</v>
      </c>
      <c r="S34" s="28"/>
      <c r="T34" s="62">
        <v>4.0</v>
      </c>
      <c r="U34" s="62">
        <v>2.787E8</v>
      </c>
      <c r="V34" s="28">
        <v>2.6522E7</v>
      </c>
      <c r="W34" s="85">
        <v>100.0</v>
      </c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M35" s="1"/>
      <c r="N35" s="9"/>
      <c r="O35" s="9"/>
      <c r="P35" s="9"/>
      <c r="Q35" s="42" t="s">
        <v>199</v>
      </c>
      <c r="R35" s="42" t="s">
        <v>157</v>
      </c>
      <c r="S35" s="28"/>
      <c r="T35" s="62">
        <v>2.0</v>
      </c>
      <c r="U35" s="62">
        <v>5.13009E8</v>
      </c>
      <c r="V35" s="28">
        <v>2.3372E7</v>
      </c>
      <c r="W35" s="85">
        <v>100.0</v>
      </c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M36" s="1"/>
      <c r="N36" s="8"/>
      <c r="O36" s="67"/>
      <c r="P36" s="9"/>
      <c r="Q36" s="42" t="s">
        <v>34</v>
      </c>
      <c r="R36" s="42" t="s">
        <v>140</v>
      </c>
      <c r="S36" s="28"/>
      <c r="T36" s="62">
        <v>3.0</v>
      </c>
      <c r="U36" s="86">
        <v>5.32E7</v>
      </c>
      <c r="V36" s="72">
        <v>3492000.0</v>
      </c>
      <c r="W36" s="87">
        <v>60.9</v>
      </c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M37" s="1"/>
      <c r="N37" s="17" t="s">
        <v>119</v>
      </c>
      <c r="O37" s="42"/>
      <c r="P37" s="1"/>
      <c r="Q37" s="42"/>
      <c r="R37" s="42"/>
      <c r="S37" s="28"/>
      <c r="T37" s="62"/>
      <c r="U37" s="62"/>
      <c r="V37" s="28"/>
      <c r="W37" s="85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M38" s="1"/>
      <c r="N38" s="17" t="s">
        <v>120</v>
      </c>
      <c r="O38" s="42"/>
      <c r="P38" s="1"/>
      <c r="Q38" s="42"/>
      <c r="R38" s="42"/>
      <c r="S38" s="28"/>
      <c r="T38" s="62"/>
      <c r="U38" s="62"/>
      <c r="V38" s="28"/>
      <c r="W38" s="85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M39" s="1"/>
      <c r="N39" s="17" t="s">
        <v>121</v>
      </c>
      <c r="O39" s="42"/>
      <c r="P39" s="1"/>
      <c r="Q39" s="42"/>
      <c r="R39" s="42"/>
      <c r="S39" s="28"/>
      <c r="T39" s="62"/>
      <c r="U39" s="62"/>
      <c r="V39" s="28"/>
      <c r="W39" s="85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M40" s="1"/>
      <c r="N40" s="17" t="s">
        <v>122</v>
      </c>
      <c r="O40" s="28">
        <f>107507000+131341000</f>
        <v>238848000</v>
      </c>
      <c r="P40" s="8"/>
      <c r="Q40" s="42"/>
      <c r="R40" s="42"/>
      <c r="S40" s="28"/>
      <c r="T40" s="68"/>
      <c r="U40" s="68"/>
      <c r="V40" s="28"/>
      <c r="W40" s="85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M41" s="1"/>
      <c r="N41" s="11"/>
      <c r="O41" s="1"/>
      <c r="P41" s="1"/>
      <c r="Q41" s="1"/>
      <c r="R41" s="1"/>
      <c r="S41" s="69" t="s">
        <v>90</v>
      </c>
      <c r="T41" s="70">
        <f t="shared" ref="T41:V41" si="1">sum(T29:T40)</f>
        <v>86</v>
      </c>
      <c r="U41" s="70">
        <f t="shared" si="1"/>
        <v>7273610368</v>
      </c>
      <c r="V41" s="70">
        <f t="shared" si="1"/>
        <v>645914336</v>
      </c>
      <c r="W41" s="4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M42" s="1"/>
      <c r="N42" s="9"/>
      <c r="O42" s="8" t="s">
        <v>123</v>
      </c>
      <c r="P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M43" s="1"/>
      <c r="N43" s="110" t="s">
        <v>124</v>
      </c>
      <c r="O43" s="72">
        <v>2.841387E9</v>
      </c>
      <c r="P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M44" s="1"/>
      <c r="N44" s="112" t="s">
        <v>125</v>
      </c>
      <c r="O44" s="89">
        <v>2.842178E9</v>
      </c>
      <c r="P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N45" s="98" t="s">
        <v>126</v>
      </c>
      <c r="O45" s="118">
        <f>388110000+101328000+13354000</f>
        <v>502792000</v>
      </c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N46" s="99" t="s">
        <v>127</v>
      </c>
      <c r="O46" s="118">
        <v>3.8811E8</v>
      </c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N47" s="99" t="s">
        <v>128</v>
      </c>
      <c r="O47" s="118">
        <v>3.85455E8</v>
      </c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N48" s="77" t="s">
        <v>129</v>
      </c>
      <c r="O48" s="118">
        <v>1.17337E8</v>
      </c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130</v>
      </c>
      <c r="O49" s="118">
        <v>2.850935E9</v>
      </c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N50" s="77" t="s">
        <v>131</v>
      </c>
      <c r="O50" s="78">
        <v>791000.0</v>
      </c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O51" s="119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R58" s="1"/>
      <c r="S58" s="1"/>
      <c r="T58" s="1"/>
      <c r="U58" s="1"/>
      <c r="V58" s="1"/>
      <c r="W58" s="79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R59" s="1"/>
      <c r="S59" s="1"/>
      <c r="T59" s="1"/>
      <c r="U59" s="1"/>
      <c r="V59" s="1"/>
      <c r="W59" s="79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R60" s="1"/>
      <c r="S60" s="1"/>
      <c r="T60" s="1"/>
      <c r="U60" s="1"/>
      <c r="V60" s="1"/>
      <c r="W60" s="79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R61" s="1"/>
      <c r="S61" s="1"/>
      <c r="T61" s="1"/>
      <c r="U61" s="1"/>
      <c r="V61" s="1"/>
      <c r="W61" s="79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R62" s="1"/>
      <c r="S62" s="1"/>
      <c r="T62" s="1"/>
      <c r="U62" s="1"/>
      <c r="V62" s="1"/>
      <c r="W62" s="79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R63" s="1"/>
      <c r="S63" s="1"/>
      <c r="T63" s="1"/>
      <c r="U63" s="1"/>
      <c r="V63" s="1"/>
      <c r="W63" s="79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R64" s="1"/>
      <c r="S64" s="1"/>
      <c r="T64" s="1"/>
      <c r="U64" s="1"/>
      <c r="V64" s="1"/>
      <c r="W64" s="79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R65" s="1"/>
      <c r="S65" s="1"/>
      <c r="T65" s="1"/>
      <c r="U65" s="1"/>
      <c r="V65" s="1"/>
      <c r="W65" s="79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R66" s="1"/>
      <c r="S66" s="1"/>
      <c r="T66" s="1"/>
      <c r="U66" s="1"/>
      <c r="V66" s="1"/>
      <c r="W66" s="79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R67" s="1"/>
      <c r="S67" s="1"/>
      <c r="T67" s="1"/>
      <c r="U67" s="1"/>
      <c r="V67" s="1"/>
      <c r="W67" s="79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R68" s="1"/>
      <c r="S68" s="1"/>
      <c r="T68" s="1"/>
      <c r="U68" s="1"/>
      <c r="V68" s="1"/>
      <c r="W68" s="79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R69" s="1"/>
      <c r="S69" s="1"/>
      <c r="T69" s="1"/>
      <c r="U69" s="1"/>
      <c r="V69" s="1"/>
      <c r="W69" s="79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R70" s="1"/>
      <c r="S70" s="1"/>
      <c r="T70" s="1"/>
      <c r="U70" s="1"/>
      <c r="V70" s="1"/>
      <c r="W70" s="79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R71" s="1"/>
      <c r="S71" s="1"/>
      <c r="T71" s="1"/>
      <c r="U71" s="1"/>
      <c r="V71" s="1"/>
      <c r="W71" s="79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R72" s="1"/>
      <c r="S72" s="1"/>
      <c r="T72" s="1"/>
      <c r="U72" s="1"/>
      <c r="V72" s="1"/>
      <c r="W72" s="79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R73" s="1"/>
      <c r="S73" s="1"/>
      <c r="T73" s="1"/>
      <c r="U73" s="1"/>
      <c r="V73" s="1"/>
      <c r="W73" s="79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R74" s="1"/>
      <c r="S74" s="1"/>
      <c r="T74" s="1"/>
      <c r="U74" s="1"/>
      <c r="V74" s="1"/>
      <c r="W74" s="79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R75" s="1"/>
      <c r="S75" s="1"/>
      <c r="T75" s="1"/>
      <c r="U75" s="1"/>
      <c r="V75" s="1"/>
      <c r="W75" s="79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R76" s="1"/>
      <c r="S76" s="1"/>
      <c r="T76" s="1"/>
      <c r="U76" s="1"/>
      <c r="V76" s="1"/>
      <c r="W76" s="79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R77" s="1"/>
      <c r="S77" s="1"/>
      <c r="T77" s="1"/>
      <c r="U77" s="1"/>
      <c r="V77" s="1"/>
      <c r="W77" s="79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R78" s="1"/>
      <c r="S78" s="1"/>
      <c r="T78" s="1"/>
      <c r="U78" s="1"/>
      <c r="V78" s="1"/>
      <c r="W78" s="79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R79" s="1"/>
      <c r="S79" s="1"/>
      <c r="T79" s="1"/>
      <c r="U79" s="1"/>
      <c r="V79" s="1"/>
      <c r="W79" s="79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R80" s="1"/>
      <c r="S80" s="1"/>
      <c r="T80" s="1"/>
      <c r="U80" s="1"/>
      <c r="V80" s="1"/>
      <c r="W80" s="79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R81" s="1"/>
      <c r="S81" s="1"/>
      <c r="T81" s="1"/>
      <c r="U81" s="1"/>
      <c r="V81" s="1"/>
      <c r="W81" s="79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R82" s="1"/>
      <c r="S82" s="1"/>
      <c r="T82" s="1"/>
      <c r="U82" s="1"/>
      <c r="V82" s="1"/>
      <c r="W82" s="79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R83" s="1"/>
      <c r="S83" s="1"/>
      <c r="T83" s="1"/>
      <c r="U83" s="1"/>
      <c r="V83" s="1"/>
      <c r="W83" s="79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79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79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79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79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79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79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79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79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79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79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79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79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79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79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79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79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79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79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9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9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79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9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79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79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79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79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9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9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9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9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9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9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9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9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9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9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9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9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9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9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9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9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9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9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9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9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9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9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9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9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9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9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9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9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9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9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9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9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9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9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9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9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9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79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79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79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79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79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79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79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79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79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79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79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79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79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79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79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79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79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79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79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79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79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79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79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79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79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79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79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79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79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79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79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79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79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79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79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79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79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79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79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79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79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79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79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79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79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79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79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79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79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79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79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79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79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79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79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79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79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79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79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79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79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79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79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79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79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79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79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79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79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79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79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79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79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79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79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79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79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79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79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79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79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79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79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79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79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79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79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79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79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79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79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79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79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79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79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79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79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79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79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79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79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79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79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79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79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79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79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79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79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79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79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79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79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79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79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79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79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79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79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79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79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79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79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79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79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79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79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79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79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79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79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79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79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79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79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79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79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79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79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79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79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79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79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79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79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79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79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79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79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79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79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79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79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79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79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79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79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79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79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79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79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79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79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79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79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79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79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79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79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79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79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79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79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79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79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79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79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79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79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79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79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79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79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79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79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79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79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79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79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79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79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79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79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79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79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79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79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79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79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79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79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79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79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79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79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79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79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79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79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79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79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9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9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9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9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79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79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79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79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9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79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79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79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79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79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79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79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79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79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79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79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79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79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79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79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79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79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79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79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79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79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79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79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79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79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79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79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79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79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79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79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79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79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79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79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79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79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79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79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79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79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79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79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79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79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79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79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79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79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79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79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79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79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79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79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79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79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79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79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79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79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79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79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79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79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79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79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79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79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79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79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79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79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79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79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79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79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79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79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79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79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79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79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79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79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79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79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79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79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79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79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79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79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79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79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79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79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79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79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79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79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79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79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79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79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79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79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79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79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79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79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79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79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79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79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79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79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79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79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79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79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79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79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79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79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79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79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79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79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79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79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79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79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79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79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79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79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79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79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79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79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79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79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79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79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79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79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79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79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79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79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79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79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79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79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79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79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79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79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79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79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79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79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79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79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79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79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79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79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79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79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79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79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79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79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79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79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79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79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79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79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79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79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79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79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79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79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79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79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79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79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79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79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79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79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79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79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79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79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79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79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79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79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79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79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79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79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79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79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79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79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79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79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79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79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79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79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79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79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79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79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79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79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79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79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79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79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79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79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79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79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79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79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79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79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79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79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79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79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79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79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79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79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79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79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79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79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79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79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79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79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79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79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79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79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79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79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79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79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79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79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79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79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79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79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79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79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79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79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79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79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79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79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79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79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79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79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79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79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79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79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79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79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79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79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79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79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79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79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79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79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79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79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79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79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79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79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79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79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79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79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79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79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79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79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79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79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79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79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79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79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79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79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79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79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79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79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79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79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79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79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79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79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79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79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79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79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79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79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79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79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79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79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79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79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79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79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79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79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79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79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79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79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79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79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79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79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79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79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79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79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79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79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79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79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79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79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79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79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79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79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79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79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79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79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79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79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79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79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79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79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79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79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79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79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79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79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79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79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79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79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79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79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79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79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79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79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79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79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79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79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79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79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79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79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79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79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79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79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79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79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79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79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79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79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79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79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79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79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79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79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79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79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79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79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79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79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79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79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79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79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79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79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79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79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79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79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79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79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79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79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79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79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79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79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79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79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79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79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79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79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79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79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79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79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79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79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79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79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79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79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79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79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79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79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79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79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79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79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79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79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79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79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79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79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79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79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79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79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79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79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79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79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79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79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79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79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79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79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79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79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79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79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79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79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79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79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79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79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79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79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79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79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79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79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79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79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79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79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79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79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79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79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79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79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79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79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79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79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79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79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79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79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79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79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79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79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79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79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79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79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79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79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79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79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79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79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79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79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79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79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79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79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79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79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79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79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79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79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79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79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79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79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79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79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79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79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79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79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79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79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79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79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79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79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79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79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79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79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79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79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79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79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79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79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79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79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79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79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79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79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79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79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79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79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79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79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79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79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79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79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79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79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79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79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79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79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79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79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79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79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79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79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79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9"/>
      <c r="K961" s="9"/>
      <c r="L961" s="9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79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9"/>
      <c r="K962" s="9"/>
      <c r="L962" s="9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79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9"/>
      <c r="K963" s="9"/>
      <c r="L963" s="9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79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9"/>
      <c r="K964" s="9"/>
      <c r="L964" s="9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79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9"/>
      <c r="K965" s="9"/>
      <c r="L965" s="9"/>
      <c r="M965" s="1"/>
      <c r="N965" s="9"/>
      <c r="O965" s="9"/>
      <c r="P965" s="1"/>
      <c r="Q965" s="1"/>
      <c r="R965" s="1"/>
      <c r="S965" s="1"/>
      <c r="T965" s="1"/>
      <c r="U965" s="1"/>
      <c r="V965" s="1"/>
      <c r="W965" s="79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9"/>
      <c r="K966" s="9"/>
      <c r="L966" s="9"/>
      <c r="M966" s="1"/>
      <c r="N966" s="9"/>
      <c r="O966" s="9"/>
      <c r="P966" s="1"/>
      <c r="Q966" s="1"/>
      <c r="R966" s="1"/>
      <c r="S966" s="1"/>
      <c r="T966" s="1"/>
      <c r="U966" s="1"/>
      <c r="V966" s="1"/>
      <c r="W966" s="79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9"/>
      <c r="K967" s="9"/>
      <c r="L967" s="9"/>
      <c r="M967" s="1"/>
      <c r="N967" s="9"/>
      <c r="O967" s="9"/>
      <c r="P967" s="1"/>
      <c r="Q967" s="1"/>
      <c r="R967" s="1"/>
      <c r="S967" s="1"/>
      <c r="T967" s="1"/>
      <c r="U967" s="1"/>
      <c r="V967" s="1"/>
      <c r="W967" s="79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9"/>
      <c r="K968" s="9"/>
      <c r="L968" s="9"/>
      <c r="M968" s="1"/>
      <c r="N968" s="9"/>
      <c r="O968" s="9"/>
      <c r="P968" s="1"/>
      <c r="Q968" s="1"/>
      <c r="R968" s="1"/>
      <c r="S968" s="1"/>
      <c r="T968" s="1"/>
      <c r="U968" s="1"/>
      <c r="V968" s="1"/>
      <c r="W968" s="79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9"/>
      <c r="K969" s="9"/>
      <c r="L969" s="9"/>
      <c r="M969" s="1"/>
      <c r="N969" s="9"/>
      <c r="O969" s="9"/>
      <c r="P969" s="1"/>
      <c r="Q969" s="1"/>
      <c r="R969" s="1"/>
      <c r="S969" s="1"/>
      <c r="T969" s="1"/>
      <c r="U969" s="1"/>
      <c r="V969" s="1"/>
      <c r="W969" s="79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9"/>
      <c r="K970" s="9"/>
      <c r="L970" s="9"/>
      <c r="M970" s="1"/>
      <c r="N970" s="9"/>
      <c r="O970" s="9"/>
      <c r="P970" s="1"/>
      <c r="Q970" s="1"/>
      <c r="R970" s="1"/>
      <c r="S970" s="1"/>
      <c r="T970" s="1"/>
      <c r="U970" s="1"/>
      <c r="V970" s="1"/>
      <c r="W970" s="79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9"/>
      <c r="K971" s="9"/>
      <c r="L971" s="9"/>
      <c r="M971" s="1"/>
      <c r="N971" s="9"/>
      <c r="O971" s="9"/>
      <c r="P971" s="1"/>
      <c r="Q971" s="1"/>
      <c r="R971" s="1"/>
      <c r="S971" s="1"/>
      <c r="T971" s="1"/>
      <c r="U971" s="1"/>
      <c r="V971" s="1"/>
      <c r="W971" s="79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9"/>
      <c r="J972" s="9"/>
      <c r="K972" s="9"/>
      <c r="L972" s="9"/>
      <c r="M972" s="1"/>
      <c r="N972" s="9"/>
      <c r="O972" s="9"/>
      <c r="P972" s="1"/>
      <c r="Q972" s="1"/>
      <c r="R972" s="1"/>
      <c r="S972" s="1"/>
      <c r="T972" s="1"/>
      <c r="U972" s="1"/>
      <c r="V972" s="1"/>
      <c r="W972" s="79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9"/>
      <c r="J973" s="9"/>
      <c r="K973" s="9"/>
      <c r="L973" s="9"/>
      <c r="M973" s="1"/>
      <c r="N973" s="9"/>
      <c r="O973" s="9"/>
      <c r="P973" s="1"/>
      <c r="Q973" s="1"/>
      <c r="R973" s="1"/>
      <c r="S973" s="1"/>
      <c r="T973" s="1"/>
      <c r="U973" s="1"/>
      <c r="V973" s="1"/>
      <c r="W973" s="79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9"/>
      <c r="J974" s="9"/>
      <c r="K974" s="9"/>
      <c r="L974" s="9"/>
      <c r="M974" s="1"/>
      <c r="N974" s="9"/>
      <c r="O974" s="9"/>
      <c r="P974" s="1"/>
      <c r="Q974" s="1"/>
      <c r="R974" s="1"/>
      <c r="S974" s="1"/>
      <c r="T974" s="1"/>
      <c r="U974" s="1"/>
      <c r="V974" s="1"/>
      <c r="W974" s="79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9"/>
      <c r="J975" s="9"/>
      <c r="K975" s="9"/>
      <c r="L975" s="9"/>
      <c r="M975" s="1"/>
      <c r="N975" s="9"/>
      <c r="O975" s="9"/>
      <c r="P975" s="1"/>
      <c r="Q975" s="1"/>
      <c r="R975" s="1"/>
      <c r="S975" s="1"/>
      <c r="T975" s="1"/>
      <c r="U975" s="1"/>
      <c r="V975" s="1"/>
      <c r="W975" s="79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Q976" s="1"/>
      <c r="R976" s="1"/>
      <c r="S976" s="1"/>
      <c r="T976" s="1"/>
      <c r="U976" s="1"/>
      <c r="V976" s="1"/>
      <c r="W976" s="79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Q977" s="1"/>
      <c r="R977" s="1"/>
      <c r="S977" s="1"/>
      <c r="T977" s="1"/>
      <c r="U977" s="1"/>
      <c r="V977" s="1"/>
      <c r="W977" s="79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Q978" s="1"/>
      <c r="R978" s="1"/>
      <c r="S978" s="1"/>
      <c r="T978" s="1"/>
      <c r="U978" s="1"/>
      <c r="V978" s="1"/>
      <c r="W978" s="79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Q979" s="1"/>
      <c r="R979" s="1"/>
      <c r="S979" s="1"/>
      <c r="T979" s="1"/>
      <c r="U979" s="1"/>
      <c r="V979" s="1"/>
      <c r="W979" s="79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Q980" s="1"/>
      <c r="R980" s="1"/>
      <c r="S980" s="1"/>
      <c r="T980" s="1"/>
      <c r="U980" s="1"/>
      <c r="V980" s="1"/>
      <c r="W980" s="79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M981" s="1"/>
      <c r="N981" s="9"/>
      <c r="O981" s="9"/>
      <c r="P981" s="1"/>
      <c r="Q981" s="1"/>
      <c r="R981" s="1"/>
      <c r="S981" s="1"/>
      <c r="T981" s="1"/>
      <c r="U981" s="1"/>
      <c r="V981" s="1"/>
      <c r="W981" s="79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M982" s="9"/>
      <c r="N982" s="9"/>
      <c r="O982" s="9"/>
      <c r="P982" s="1"/>
      <c r="Q982" s="1"/>
      <c r="R982" s="1"/>
      <c r="S982" s="1"/>
      <c r="T982" s="1"/>
      <c r="U982" s="1"/>
      <c r="V982" s="1"/>
      <c r="W982" s="79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M983" s="9"/>
      <c r="N983" s="9"/>
      <c r="O983" s="9"/>
      <c r="P983" s="1"/>
      <c r="Q983" s="1"/>
      <c r="R983" s="1"/>
      <c r="S983" s="1"/>
      <c r="T983" s="1"/>
      <c r="U983" s="1"/>
      <c r="V983" s="1"/>
      <c r="W983" s="79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M984" s="9"/>
      <c r="N984" s="9"/>
      <c r="O984" s="9"/>
      <c r="P984" s="1"/>
      <c r="Q984" s="1"/>
      <c r="R984" s="1"/>
      <c r="S984" s="1"/>
      <c r="T984" s="1"/>
      <c r="U984" s="1"/>
      <c r="V984" s="1"/>
      <c r="W984" s="79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M985" s="9"/>
      <c r="N985" s="9"/>
      <c r="O985" s="9"/>
      <c r="P985" s="1"/>
      <c r="Q985" s="1"/>
      <c r="R985" s="1"/>
      <c r="S985" s="1"/>
      <c r="T985" s="1"/>
      <c r="U985" s="1"/>
      <c r="V985" s="1"/>
      <c r="W985" s="79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M986" s="9"/>
      <c r="N986" s="9"/>
      <c r="O986" s="9"/>
      <c r="P986" s="1"/>
      <c r="Q986" s="1"/>
      <c r="R986" s="1"/>
      <c r="S986" s="1"/>
      <c r="T986" s="1"/>
      <c r="U986" s="1"/>
      <c r="V986" s="1"/>
      <c r="W986" s="79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M987" s="9"/>
      <c r="N987" s="9"/>
      <c r="O987" s="9"/>
      <c r="P987" s="1"/>
      <c r="Q987" s="1"/>
      <c r="R987" s="1"/>
      <c r="S987" s="1"/>
      <c r="T987" s="1"/>
      <c r="U987" s="1"/>
      <c r="V987" s="1"/>
      <c r="W987" s="79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M988" s="9"/>
      <c r="N988" s="9"/>
      <c r="O988" s="9"/>
      <c r="P988" s="1"/>
      <c r="Q988" s="1"/>
      <c r="R988" s="1"/>
      <c r="S988" s="1"/>
      <c r="T988" s="1"/>
      <c r="U988" s="1"/>
      <c r="V988" s="1"/>
      <c r="W988" s="79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M989" s="9"/>
      <c r="N989" s="9"/>
      <c r="O989" s="9"/>
      <c r="P989" s="1"/>
      <c r="Q989" s="1"/>
      <c r="R989" s="1"/>
      <c r="S989" s="1"/>
      <c r="T989" s="1"/>
      <c r="U989" s="1"/>
      <c r="V989" s="1"/>
      <c r="W989" s="79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M990" s="9"/>
      <c r="N990" s="9"/>
      <c r="O990" s="9"/>
      <c r="P990" s="1"/>
      <c r="Q990" s="1"/>
      <c r="R990" s="1"/>
      <c r="S990" s="1"/>
      <c r="T990" s="1"/>
      <c r="U990" s="1"/>
      <c r="V990" s="1"/>
      <c r="W990" s="79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M991" s="9"/>
      <c r="N991" s="9"/>
      <c r="O991" s="9"/>
      <c r="P991" s="1"/>
      <c r="Q991" s="1"/>
      <c r="R991" s="1"/>
      <c r="S991" s="1"/>
      <c r="T991" s="1"/>
      <c r="U991" s="1"/>
      <c r="V991" s="1"/>
      <c r="W991" s="79"/>
      <c r="X991" s="1"/>
      <c r="Y991" s="1"/>
      <c r="Z991" s="1"/>
      <c r="AA991" s="1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6:R25 R29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10">
      <formula1>"Sales &amp; Marketing,General &amp; Admin,R&amp;D,Salaries &amp; Benefits,Other expenses"</formula1>
    </dataValidation>
    <dataValidation type="list" allowBlank="1" showErrorMessage="1" sqref="Q6:Q25 Q29:Q40">
      <formula1>"Australia,Germany,Singapore,United States,United Kingdom/Europe,China,South Korea,Japan,Hong Kong,Vietnam,Malaysia,India"</formula1>
    </dataValidation>
    <dataValidation type="list" allowBlank="1" showErrorMessage="1" sqref="C6:C7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3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</dataValidations>
  <hyperlinks>
    <hyperlink r:id="rId1" ref="B1"/>
    <hyperlink r:id="rId2" ref="B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0.88"/>
    <col customWidth="1" min="18" max="18" width="18.88"/>
    <col customWidth="1" min="19" max="19" width="26.5"/>
    <col customWidth="1" min="20" max="20" width="7.5"/>
    <col customWidth="1" min="21" max="21" width="38.13"/>
    <col customWidth="1" min="22" max="27" width="26.5"/>
  </cols>
  <sheetData>
    <row r="1">
      <c r="A1" s="1" t="s">
        <v>0</v>
      </c>
      <c r="B1" s="2" t="s">
        <v>285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79"/>
      <c r="X1" s="1"/>
      <c r="Y1" s="1"/>
      <c r="Z1" s="1"/>
      <c r="AA1" s="1"/>
    </row>
    <row r="2">
      <c r="A2" s="1" t="s">
        <v>2</v>
      </c>
      <c r="B2" s="5" t="s">
        <v>286</v>
      </c>
      <c r="C2" s="1"/>
      <c r="D2" s="6" t="s">
        <v>4</v>
      </c>
      <c r="E2" s="84">
        <v>45565.0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79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1"/>
      <c r="W3" s="79"/>
      <c r="X3" s="1"/>
      <c r="Y3" s="9"/>
      <c r="Z3" s="9"/>
      <c r="AA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3.51733E8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3.6494E7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/>
      <c r="AA5" s="9"/>
    </row>
    <row r="6">
      <c r="A6" s="17" t="s">
        <v>26</v>
      </c>
      <c r="B6" s="18">
        <v>-9.8347E7</v>
      </c>
      <c r="C6" s="19" t="s">
        <v>27</v>
      </c>
      <c r="D6" s="32" t="s">
        <v>287</v>
      </c>
      <c r="E6" s="31">
        <v>3.16427E8</v>
      </c>
      <c r="F6" s="30" t="s">
        <v>29</v>
      </c>
      <c r="G6" s="31" t="s">
        <v>30</v>
      </c>
      <c r="H6" s="18">
        <v>-3.6901E7</v>
      </c>
      <c r="I6" s="8"/>
      <c r="J6" s="32" t="s">
        <v>288</v>
      </c>
      <c r="K6" s="33" t="s">
        <v>209</v>
      </c>
      <c r="L6" s="34">
        <v>5.6</v>
      </c>
      <c r="M6" s="1"/>
      <c r="N6" s="22" t="s">
        <v>33</v>
      </c>
      <c r="O6" s="23">
        <v>6.342377E9</v>
      </c>
      <c r="P6" s="1"/>
      <c r="Q6" s="42" t="s">
        <v>34</v>
      </c>
      <c r="R6" s="42" t="s">
        <v>65</v>
      </c>
      <c r="S6" s="28" t="s">
        <v>289</v>
      </c>
      <c r="T6" s="62"/>
      <c r="U6" s="62">
        <v>1.342E9</v>
      </c>
      <c r="V6" s="28">
        <v>9.5047E7</v>
      </c>
      <c r="W6" s="85">
        <v>99.8</v>
      </c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253386000</v>
      </c>
      <c r="C7" s="19" t="s">
        <v>27</v>
      </c>
      <c r="D7" s="31" t="s">
        <v>290</v>
      </c>
      <c r="E7" s="31">
        <v>1.5725E7</v>
      </c>
      <c r="F7" s="30" t="s">
        <v>29</v>
      </c>
      <c r="G7" s="31" t="s">
        <v>49</v>
      </c>
      <c r="H7" s="31">
        <v>-1045000.0</v>
      </c>
      <c r="I7" s="1"/>
      <c r="J7" s="32" t="s">
        <v>291</v>
      </c>
      <c r="K7" s="32" t="s">
        <v>74</v>
      </c>
      <c r="L7" s="41">
        <v>3.2</v>
      </c>
      <c r="M7" s="1"/>
      <c r="N7" s="42" t="s">
        <v>43</v>
      </c>
      <c r="O7" s="43">
        <f>sum(O5:O6)</f>
        <v>6378871000</v>
      </c>
      <c r="P7" s="1"/>
      <c r="Q7" s="42" t="s">
        <v>34</v>
      </c>
      <c r="R7" s="42" t="s">
        <v>65</v>
      </c>
      <c r="S7" s="28" t="s">
        <v>292</v>
      </c>
      <c r="T7" s="62"/>
      <c r="U7" s="62">
        <v>8.22E8</v>
      </c>
      <c r="V7" s="28">
        <v>5.9654E7</v>
      </c>
      <c r="W7" s="85">
        <v>100.0</v>
      </c>
      <c r="X7" s="1"/>
      <c r="Y7" s="17" t="s">
        <v>46</v>
      </c>
      <c r="Z7" s="28"/>
      <c r="AA7" s="9"/>
    </row>
    <row r="8">
      <c r="A8" s="17" t="s">
        <v>47</v>
      </c>
      <c r="B8" s="18">
        <v>-4.0644E7</v>
      </c>
      <c r="C8" s="19" t="s">
        <v>27</v>
      </c>
      <c r="D8" s="31" t="s">
        <v>293</v>
      </c>
      <c r="E8" s="31">
        <v>7166000.0</v>
      </c>
      <c r="F8" s="30" t="s">
        <v>29</v>
      </c>
      <c r="G8" s="31" t="s">
        <v>68</v>
      </c>
      <c r="H8" s="31">
        <v>-147000.0</v>
      </c>
      <c r="I8" s="1"/>
      <c r="J8" s="45" t="s">
        <v>294</v>
      </c>
      <c r="K8" s="32" t="s">
        <v>74</v>
      </c>
      <c r="L8" s="34">
        <v>2.0</v>
      </c>
      <c r="M8" s="1"/>
      <c r="N8" s="42" t="s">
        <v>51</v>
      </c>
      <c r="O8" s="23">
        <v>4.28741E8</v>
      </c>
      <c r="P8" s="1"/>
      <c r="Q8" s="42" t="s">
        <v>34</v>
      </c>
      <c r="R8" s="42" t="s">
        <v>65</v>
      </c>
      <c r="S8" s="28" t="s">
        <v>295</v>
      </c>
      <c r="T8" s="62"/>
      <c r="U8" s="62">
        <v>8.08E8</v>
      </c>
      <c r="V8" s="28">
        <v>4.09E7</v>
      </c>
      <c r="W8" s="85">
        <v>100.0</v>
      </c>
      <c r="X8" s="1"/>
      <c r="Y8" s="17" t="s">
        <v>53</v>
      </c>
      <c r="Z8" s="46">
        <f>SUM(Z5:Z7)</f>
        <v>0</v>
      </c>
      <c r="AA8" s="9"/>
    </row>
    <row r="9">
      <c r="A9" s="17" t="s">
        <v>54</v>
      </c>
      <c r="B9" s="40">
        <f>sum(B7:B8)</f>
        <v>212742000</v>
      </c>
      <c r="C9" s="30" t="s">
        <v>48</v>
      </c>
      <c r="D9" s="31" t="s">
        <v>46</v>
      </c>
      <c r="E9" s="31">
        <v>1.2415E7</v>
      </c>
      <c r="F9" s="30" t="s">
        <v>29</v>
      </c>
      <c r="G9" s="49" t="s">
        <v>296</v>
      </c>
      <c r="H9" s="31">
        <v>-280000.0</v>
      </c>
      <c r="I9" s="1"/>
      <c r="J9" s="45" t="s">
        <v>297</v>
      </c>
      <c r="K9" s="32" t="s">
        <v>209</v>
      </c>
      <c r="L9" s="34">
        <v>1.4</v>
      </c>
      <c r="M9" s="1"/>
      <c r="N9" s="42" t="s">
        <v>58</v>
      </c>
      <c r="O9" s="23">
        <v>1.789464E9</v>
      </c>
      <c r="P9" s="1"/>
      <c r="Q9" s="42" t="s">
        <v>34</v>
      </c>
      <c r="R9" s="42" t="s">
        <v>65</v>
      </c>
      <c r="S9" s="28" t="s">
        <v>298</v>
      </c>
      <c r="T9" s="62"/>
      <c r="U9" s="62">
        <v>6.6E8</v>
      </c>
      <c r="V9" s="28">
        <v>4.301E7</v>
      </c>
      <c r="W9" s="85">
        <v>98.3</v>
      </c>
      <c r="X9" s="1"/>
      <c r="Y9" s="9"/>
      <c r="Z9" s="9"/>
      <c r="AA9" s="9"/>
    </row>
    <row r="10">
      <c r="A10" s="17" t="s">
        <v>60</v>
      </c>
      <c r="B10" s="18">
        <f>-84168000+464000+66224000+11272000-24644000+14661000-87000</f>
        <v>-16278000</v>
      </c>
      <c r="C10" s="19"/>
      <c r="D10" s="31"/>
      <c r="E10" s="31"/>
      <c r="F10" s="30" t="s">
        <v>29</v>
      </c>
      <c r="G10" s="31" t="s">
        <v>40</v>
      </c>
      <c r="H10" s="31">
        <v>-1517000.0</v>
      </c>
      <c r="I10" s="1"/>
      <c r="J10" s="33" t="s">
        <v>299</v>
      </c>
      <c r="K10" s="45" t="s">
        <v>78</v>
      </c>
      <c r="L10" s="34">
        <v>1.4</v>
      </c>
      <c r="M10" s="1"/>
      <c r="N10" s="42" t="s">
        <v>64</v>
      </c>
      <c r="O10" s="43">
        <f>sum(O8:O9)</f>
        <v>2218205000</v>
      </c>
      <c r="P10" s="1"/>
      <c r="Q10" s="42" t="s">
        <v>34</v>
      </c>
      <c r="R10" s="42" t="s">
        <v>65</v>
      </c>
      <c r="S10" s="28" t="s">
        <v>300</v>
      </c>
      <c r="T10" s="62"/>
      <c r="U10" s="62">
        <v>5.63E8</v>
      </c>
      <c r="V10" s="28">
        <v>3.4817E7</v>
      </c>
      <c r="W10" s="85">
        <v>100.0</v>
      </c>
      <c r="X10" s="1"/>
      <c r="Y10" s="9"/>
      <c r="Z10" s="9"/>
      <c r="AA10" s="9"/>
    </row>
    <row r="11">
      <c r="A11" s="17" t="s">
        <v>67</v>
      </c>
      <c r="B11" s="40">
        <f>sum(B9:B10)</f>
        <v>196464000</v>
      </c>
      <c r="C11" s="19"/>
      <c r="D11" s="31"/>
      <c r="E11" s="31"/>
      <c r="F11" s="30" t="s">
        <v>61</v>
      </c>
      <c r="G11" s="49" t="s">
        <v>301</v>
      </c>
      <c r="H11" s="31">
        <v>-754000.0</v>
      </c>
      <c r="I11" s="1"/>
      <c r="J11" s="32" t="s">
        <v>302</v>
      </c>
      <c r="K11" s="32" t="s">
        <v>74</v>
      </c>
      <c r="L11" s="41">
        <v>1.3</v>
      </c>
      <c r="M11" s="9"/>
      <c r="N11" s="42" t="s">
        <v>70</v>
      </c>
      <c r="O11" s="43">
        <f>O7-O10</f>
        <v>4160666000</v>
      </c>
      <c r="P11" s="9"/>
      <c r="Q11" s="42" t="s">
        <v>34</v>
      </c>
      <c r="R11" s="42" t="s">
        <v>65</v>
      </c>
      <c r="S11" s="28" t="s">
        <v>303</v>
      </c>
      <c r="T11" s="62"/>
      <c r="U11" s="62">
        <v>4.39E8</v>
      </c>
      <c r="V11" s="28">
        <v>3.2531E7</v>
      </c>
      <c r="W11" s="85">
        <v>99.3</v>
      </c>
      <c r="X11" s="1"/>
      <c r="Y11" s="9"/>
      <c r="Z11" s="9"/>
      <c r="AA11" s="9"/>
    </row>
    <row r="12">
      <c r="A12" s="17" t="s">
        <v>72</v>
      </c>
      <c r="B12" s="50">
        <v>1082000.0</v>
      </c>
      <c r="C12" s="19"/>
      <c r="D12" s="31"/>
      <c r="E12" s="31"/>
      <c r="F12" s="48"/>
      <c r="G12" s="49"/>
      <c r="H12" s="31"/>
      <c r="I12" s="1"/>
      <c r="J12" s="32" t="s">
        <v>304</v>
      </c>
      <c r="K12" s="32" t="s">
        <v>42</v>
      </c>
      <c r="L12" s="41">
        <v>1.2</v>
      </c>
      <c r="M12" s="9"/>
      <c r="N12" s="9"/>
      <c r="O12" s="9"/>
      <c r="P12" s="9"/>
      <c r="Q12" s="42" t="s">
        <v>34</v>
      </c>
      <c r="R12" s="42" t="s">
        <v>65</v>
      </c>
      <c r="S12" s="28" t="s">
        <v>305</v>
      </c>
      <c r="T12" s="68"/>
      <c r="U12" s="68">
        <v>4.3E8</v>
      </c>
      <c r="V12" s="28">
        <v>3.1666E7</v>
      </c>
      <c r="W12" s="85">
        <v>99.4</v>
      </c>
      <c r="X12" s="1"/>
      <c r="Y12" s="9"/>
      <c r="Z12" s="9"/>
      <c r="AA12" s="9"/>
    </row>
    <row r="13">
      <c r="A13" s="17" t="s">
        <v>76</v>
      </c>
      <c r="B13" s="40">
        <f>SUM(B11:B12)</f>
        <v>197546000</v>
      </c>
      <c r="C13" s="19"/>
      <c r="D13" s="31"/>
      <c r="E13" s="31"/>
      <c r="F13" s="19"/>
      <c r="G13" s="47"/>
      <c r="H13" s="47"/>
      <c r="I13" s="1"/>
      <c r="J13" s="32" t="s">
        <v>306</v>
      </c>
      <c r="K13" s="32" t="s">
        <v>74</v>
      </c>
      <c r="L13" s="41">
        <v>1.1</v>
      </c>
      <c r="M13" s="9"/>
      <c r="N13" s="42" t="s">
        <v>79</v>
      </c>
      <c r="O13" s="51">
        <f>O5-O8</f>
        <v>-392247000</v>
      </c>
      <c r="P13" s="9"/>
      <c r="Q13" s="42" t="s">
        <v>34</v>
      </c>
      <c r="R13" s="42" t="s">
        <v>44</v>
      </c>
      <c r="S13" s="28" t="s">
        <v>307</v>
      </c>
      <c r="T13" s="62"/>
      <c r="U13" s="62">
        <v>2.19E8</v>
      </c>
      <c r="V13" s="28">
        <v>1.1442E7</v>
      </c>
      <c r="W13" s="85">
        <v>95.0</v>
      </c>
      <c r="X13" s="1"/>
      <c r="Y13" s="9"/>
      <c r="Z13" s="9"/>
      <c r="AA13" s="9"/>
    </row>
    <row r="14">
      <c r="A14" s="17" t="s">
        <v>81</v>
      </c>
      <c r="B14" s="50">
        <v>0.0</v>
      </c>
      <c r="C14" s="30"/>
      <c r="D14" s="32"/>
      <c r="E14" s="18"/>
      <c r="F14" s="19"/>
      <c r="G14" s="47"/>
      <c r="H14" s="47"/>
      <c r="I14" s="1"/>
      <c r="J14" s="32" t="s">
        <v>308</v>
      </c>
      <c r="K14" s="45" t="s">
        <v>108</v>
      </c>
      <c r="L14" s="41">
        <v>1.1</v>
      </c>
      <c r="M14" s="9"/>
      <c r="P14" s="9"/>
      <c r="Q14" s="42" t="s">
        <v>34</v>
      </c>
      <c r="R14" s="42" t="s">
        <v>65</v>
      </c>
      <c r="S14" s="28" t="s">
        <v>309</v>
      </c>
      <c r="T14" s="62">
        <v>50.0</v>
      </c>
      <c r="U14" s="62">
        <v>2.13E9</v>
      </c>
      <c r="V14" s="28">
        <v>1.31203E8</v>
      </c>
      <c r="W14" s="85">
        <v>100.0</v>
      </c>
      <c r="X14" s="1"/>
      <c r="Y14" s="9"/>
      <c r="Z14" s="9"/>
      <c r="AA14" s="9"/>
    </row>
    <row r="15">
      <c r="A15" s="42" t="s">
        <v>85</v>
      </c>
      <c r="B15" s="50">
        <v>0.0</v>
      </c>
      <c r="C15" s="19"/>
      <c r="D15" s="31"/>
      <c r="E15" s="31"/>
      <c r="F15" s="19"/>
      <c r="G15" s="47"/>
      <c r="H15" s="47"/>
      <c r="I15" s="1"/>
      <c r="J15" s="32" t="s">
        <v>310</v>
      </c>
      <c r="K15" s="45" t="s">
        <v>78</v>
      </c>
      <c r="L15" s="41">
        <v>1.0</v>
      </c>
      <c r="M15" s="1"/>
      <c r="N15" s="8" t="s">
        <v>87</v>
      </c>
      <c r="O15" s="9"/>
      <c r="P15" s="1"/>
      <c r="Q15" s="42" t="s">
        <v>34</v>
      </c>
      <c r="R15" s="42" t="s">
        <v>65</v>
      </c>
      <c r="S15" s="28" t="s">
        <v>311</v>
      </c>
      <c r="T15" s="62">
        <v>50.0</v>
      </c>
      <c r="U15" s="62">
        <v>1.32E9</v>
      </c>
      <c r="V15" s="28">
        <v>8.3443E7</v>
      </c>
      <c r="W15" s="85">
        <v>99.7</v>
      </c>
      <c r="X15" s="1"/>
      <c r="Y15" s="9"/>
      <c r="Z15" s="9"/>
      <c r="AA15" s="9"/>
    </row>
    <row r="16">
      <c r="A16" s="42" t="s">
        <v>89</v>
      </c>
      <c r="B16" s="40">
        <f>SUM(B13:B15)</f>
        <v>197546000</v>
      </c>
      <c r="C16" s="19"/>
      <c r="D16" s="31"/>
      <c r="E16" s="31"/>
      <c r="F16" s="19"/>
      <c r="G16" s="47"/>
      <c r="H16" s="47"/>
      <c r="I16" s="1"/>
      <c r="J16" s="53" t="s">
        <v>90</v>
      </c>
      <c r="K16" s="53"/>
      <c r="L16" s="54">
        <f>SUM(L6:L15)</f>
        <v>19.3</v>
      </c>
      <c r="M16" s="1"/>
      <c r="N16" s="42" t="s">
        <v>91</v>
      </c>
      <c r="O16" s="23">
        <v>2.15667E8</v>
      </c>
      <c r="P16" s="1"/>
      <c r="Q16" s="42"/>
      <c r="R16" s="42"/>
      <c r="S16" s="28"/>
      <c r="T16" s="62"/>
      <c r="U16" s="62"/>
      <c r="V16" s="28"/>
      <c r="W16" s="85"/>
      <c r="X16" s="1"/>
      <c r="Y16" s="9"/>
      <c r="Z16" s="9"/>
      <c r="AA16" s="9"/>
    </row>
    <row r="17">
      <c r="A17" s="17" t="s">
        <v>93</v>
      </c>
      <c r="B17" s="81">
        <v>-8.4168E7</v>
      </c>
      <c r="C17" s="19"/>
      <c r="D17" s="32"/>
      <c r="E17" s="18"/>
      <c r="F17" s="19"/>
      <c r="G17" s="47"/>
      <c r="H17" s="47"/>
      <c r="I17" s="1"/>
      <c r="J17" s="1"/>
      <c r="K17" s="1"/>
      <c r="L17" s="1"/>
      <c r="M17" s="9"/>
      <c r="N17" s="42" t="s">
        <v>94</v>
      </c>
      <c r="O17" s="55">
        <v>4.5193E7</v>
      </c>
      <c r="P17" s="1"/>
      <c r="Q17" s="42"/>
      <c r="R17" s="42"/>
      <c r="S17" s="28"/>
      <c r="T17" s="62"/>
      <c r="U17" s="62"/>
      <c r="V17" s="62"/>
      <c r="W17" s="85"/>
      <c r="X17" s="1"/>
      <c r="Y17" s="9"/>
      <c r="Z17" s="9"/>
      <c r="AA17" s="9"/>
    </row>
    <row r="18">
      <c r="A18" s="17" t="s">
        <v>96</v>
      </c>
      <c r="B18" s="56">
        <f>B9</f>
        <v>212742000</v>
      </c>
      <c r="C18" s="19"/>
      <c r="D18" s="47"/>
      <c r="E18" s="47"/>
      <c r="F18" s="19"/>
      <c r="G18" s="47"/>
      <c r="H18" s="47"/>
      <c r="I18" s="1"/>
      <c r="J18" s="14" t="s">
        <v>97</v>
      </c>
      <c r="K18" s="15"/>
      <c r="L18" s="16"/>
      <c r="M18" s="1"/>
      <c r="N18" s="42" t="s">
        <v>98</v>
      </c>
      <c r="O18" s="55">
        <v>-2.66255E8</v>
      </c>
      <c r="P18" s="1"/>
      <c r="Q18" s="42"/>
      <c r="R18" s="42"/>
      <c r="S18" s="28"/>
      <c r="T18" s="62"/>
      <c r="U18" s="62"/>
      <c r="V18" s="28"/>
      <c r="W18" s="85"/>
      <c r="X18" s="1"/>
      <c r="Y18" s="9"/>
      <c r="Z18" s="9"/>
      <c r="AA18" s="9"/>
    </row>
    <row r="19">
      <c r="A19" s="17" t="s">
        <v>100</v>
      </c>
      <c r="B19" s="81">
        <f>-29000-14661000</f>
        <v>-14690000</v>
      </c>
      <c r="C19" s="19"/>
      <c r="D19" s="47"/>
      <c r="E19" s="47"/>
      <c r="F19" s="19"/>
      <c r="G19" s="47"/>
      <c r="H19" s="47"/>
      <c r="I19" s="1"/>
      <c r="J19" s="32" t="s">
        <v>74</v>
      </c>
      <c r="K19" s="32"/>
      <c r="L19" s="82">
        <v>37.6</v>
      </c>
      <c r="M19" s="1"/>
      <c r="N19" s="42" t="s">
        <v>101</v>
      </c>
      <c r="O19" s="43">
        <f>sum(O16:O18)</f>
        <v>-5395000</v>
      </c>
      <c r="P19" s="1"/>
      <c r="Q19" s="42"/>
      <c r="R19" s="42"/>
      <c r="S19" s="28"/>
      <c r="T19" s="62"/>
      <c r="U19" s="62"/>
      <c r="V19" s="28"/>
      <c r="W19" s="85"/>
      <c r="X19" s="1"/>
      <c r="Y19" s="9"/>
      <c r="Z19" s="9"/>
      <c r="AA19" s="9"/>
    </row>
    <row r="20">
      <c r="A20" s="17" t="s">
        <v>103</v>
      </c>
      <c r="B20" s="56">
        <f>B11-B17-B19</f>
        <v>295322000</v>
      </c>
      <c r="C20" s="30"/>
      <c r="D20" s="47"/>
      <c r="E20" s="47"/>
      <c r="F20" s="19"/>
      <c r="G20" s="47"/>
      <c r="H20" s="47"/>
      <c r="I20" s="1"/>
      <c r="J20" s="45" t="s">
        <v>108</v>
      </c>
      <c r="K20" s="44"/>
      <c r="L20" s="41">
        <v>15.6</v>
      </c>
      <c r="M20" s="1"/>
      <c r="N20" s="57"/>
      <c r="O20" s="9"/>
      <c r="P20" s="1"/>
      <c r="Q20" s="42"/>
      <c r="R20" s="42"/>
      <c r="S20" s="28"/>
      <c r="T20" s="62"/>
      <c r="U20" s="62"/>
      <c r="V20" s="62"/>
      <c r="W20" s="85"/>
      <c r="X20" s="1"/>
      <c r="Y20" s="9"/>
      <c r="Z20" s="9"/>
      <c r="AA20" s="9"/>
    </row>
    <row r="21">
      <c r="A21" s="42" t="s">
        <v>105</v>
      </c>
      <c r="B21" s="28">
        <v>1.1272E7</v>
      </c>
      <c r="C21" s="19"/>
      <c r="D21" s="47"/>
      <c r="E21" s="47"/>
      <c r="F21" s="19"/>
      <c r="G21" s="47"/>
      <c r="H21" s="47"/>
      <c r="I21" s="1"/>
      <c r="J21" s="45" t="s">
        <v>78</v>
      </c>
      <c r="K21" s="44"/>
      <c r="L21" s="34">
        <v>13.6</v>
      </c>
      <c r="M21" s="1"/>
      <c r="P21" s="1"/>
      <c r="Q21" s="42"/>
      <c r="R21" s="42"/>
      <c r="S21" s="28"/>
      <c r="T21" s="62"/>
      <c r="U21" s="62"/>
      <c r="V21" s="28"/>
      <c r="W21" s="85"/>
      <c r="X21" s="1"/>
      <c r="Y21" s="9"/>
      <c r="Z21" s="9"/>
      <c r="AA21" s="9"/>
    </row>
    <row r="22">
      <c r="A22" s="42" t="s">
        <v>107</v>
      </c>
      <c r="B22" s="56">
        <f>B13-B19-B21</f>
        <v>200964000</v>
      </c>
      <c r="C22" s="19"/>
      <c r="D22" s="47"/>
      <c r="E22" s="47"/>
      <c r="F22" s="19"/>
      <c r="G22" s="47"/>
      <c r="H22" s="47"/>
      <c r="I22" s="1"/>
      <c r="J22" s="45" t="s">
        <v>57</v>
      </c>
      <c r="K22" s="44"/>
      <c r="L22" s="34">
        <v>18.3</v>
      </c>
      <c r="M22" s="1"/>
      <c r="Q22" s="42"/>
      <c r="R22" s="42"/>
      <c r="S22" s="28"/>
      <c r="T22" s="62"/>
      <c r="U22" s="62"/>
      <c r="V22" s="28"/>
      <c r="W22" s="85"/>
      <c r="X22" s="1"/>
      <c r="Y22" s="9"/>
      <c r="Z22" s="9"/>
      <c r="AA22" s="9"/>
    </row>
    <row r="23">
      <c r="A23" s="9"/>
      <c r="B23" s="9"/>
      <c r="C23" s="19"/>
      <c r="D23" s="47"/>
      <c r="E23" s="47"/>
      <c r="F23" s="19"/>
      <c r="G23" s="47"/>
      <c r="H23" s="47"/>
      <c r="I23" s="1"/>
      <c r="J23" s="33" t="s">
        <v>209</v>
      </c>
      <c r="K23" s="44"/>
      <c r="L23" s="34">
        <v>9.5</v>
      </c>
      <c r="M23" s="1"/>
      <c r="Q23" s="42"/>
      <c r="R23" s="42"/>
      <c r="S23" s="28"/>
      <c r="T23" s="68"/>
      <c r="U23" s="68"/>
      <c r="V23" s="28"/>
      <c r="W23" s="85"/>
      <c r="X23" s="1"/>
      <c r="Y23" s="9"/>
      <c r="Z23" s="9"/>
      <c r="AA23" s="9"/>
    </row>
    <row r="24">
      <c r="A24" s="9"/>
      <c r="B24" s="9"/>
      <c r="C24" s="19"/>
      <c r="D24" s="47"/>
      <c r="E24" s="47"/>
      <c r="F24" s="19"/>
      <c r="G24" s="47"/>
      <c r="H24" s="47"/>
      <c r="I24" s="1"/>
      <c r="J24" s="32" t="s">
        <v>112</v>
      </c>
      <c r="K24" s="44"/>
      <c r="L24" s="41">
        <v>2.8</v>
      </c>
      <c r="M24" s="1"/>
      <c r="Q24" s="42"/>
      <c r="R24" s="42"/>
      <c r="S24" s="28"/>
      <c r="T24" s="68"/>
      <c r="U24" s="68"/>
      <c r="V24" s="28"/>
      <c r="W24" s="85"/>
      <c r="X24" s="1"/>
      <c r="Y24" s="9"/>
      <c r="Z24" s="9"/>
      <c r="AA24" s="9"/>
    </row>
    <row r="25">
      <c r="A25" s="9"/>
      <c r="B25" s="9"/>
      <c r="C25" s="19"/>
      <c r="D25" s="47"/>
      <c r="E25" s="47"/>
      <c r="F25" s="19"/>
      <c r="G25" s="47"/>
      <c r="H25" s="47"/>
      <c r="I25" s="1"/>
      <c r="J25" s="32" t="s">
        <v>32</v>
      </c>
      <c r="K25" s="44"/>
      <c r="L25" s="41">
        <v>2.6</v>
      </c>
      <c r="M25" s="1"/>
      <c r="Q25" s="42"/>
      <c r="R25" s="42"/>
      <c r="S25" s="28"/>
      <c r="T25" s="62"/>
      <c r="U25" s="62"/>
      <c r="V25" s="28"/>
      <c r="W25" s="85"/>
      <c r="X25" s="1"/>
      <c r="Y25" s="9"/>
      <c r="Z25" s="9"/>
      <c r="AA25" s="9"/>
    </row>
    <row r="26">
      <c r="A26" s="1"/>
      <c r="B26" s="57"/>
      <c r="C26" s="19"/>
      <c r="D26" s="47"/>
      <c r="E26" s="47"/>
      <c r="F26" s="19"/>
      <c r="G26" s="47"/>
      <c r="H26" s="47"/>
      <c r="I26" s="1"/>
      <c r="J26" s="32"/>
      <c r="K26" s="44"/>
      <c r="L26" s="41"/>
      <c r="M26" s="1"/>
      <c r="N26" s="9"/>
      <c r="O26" s="9"/>
      <c r="X26" s="1"/>
      <c r="Y26" s="9"/>
      <c r="Z26" s="9"/>
      <c r="AA26" s="9"/>
    </row>
    <row r="27">
      <c r="A27" s="1"/>
      <c r="B27" s="57"/>
      <c r="C27" s="19"/>
      <c r="D27" s="47"/>
      <c r="E27" s="47"/>
      <c r="F27" s="19"/>
      <c r="G27" s="47"/>
      <c r="H27" s="47"/>
      <c r="I27" s="1"/>
      <c r="J27" s="32"/>
      <c r="K27" s="44"/>
      <c r="L27" s="41"/>
      <c r="M27" s="1"/>
      <c r="N27" s="9"/>
      <c r="O27" s="9"/>
      <c r="P27" s="1"/>
      <c r="Q27" s="58" t="s">
        <v>114</v>
      </c>
      <c r="R27" s="15"/>
      <c r="S27" s="15"/>
      <c r="T27" s="15"/>
      <c r="U27" s="15"/>
      <c r="V27" s="15"/>
      <c r="W27" s="16"/>
      <c r="X27" s="1"/>
      <c r="Y27" s="9"/>
      <c r="Z27" s="9"/>
      <c r="AA27" s="9"/>
    </row>
    <row r="28">
      <c r="A28" s="1"/>
      <c r="B28" s="57"/>
      <c r="C28" s="19"/>
      <c r="D28" s="47"/>
      <c r="E28" s="47"/>
      <c r="F28" s="19"/>
      <c r="G28" s="47"/>
      <c r="H28" s="47"/>
      <c r="I28" s="1"/>
      <c r="J28" s="32"/>
      <c r="K28" s="44"/>
      <c r="L28" s="41"/>
      <c r="M28" s="57"/>
      <c r="N28" s="9"/>
      <c r="O28" s="9"/>
      <c r="P28" s="57"/>
      <c r="Q28" s="59" t="s">
        <v>18</v>
      </c>
      <c r="R28" s="59" t="s">
        <v>19</v>
      </c>
      <c r="S28" s="59"/>
      <c r="T28" s="60" t="s">
        <v>115</v>
      </c>
      <c r="U28" s="60" t="s">
        <v>22</v>
      </c>
      <c r="V28" s="59" t="s">
        <v>23</v>
      </c>
      <c r="W28" s="61" t="s">
        <v>24</v>
      </c>
      <c r="X28" s="1"/>
      <c r="Y28" s="9"/>
      <c r="Z28" s="9"/>
      <c r="AA28" s="9"/>
    </row>
    <row r="29">
      <c r="A29" s="1"/>
      <c r="B29" s="1"/>
      <c r="C29" s="19"/>
      <c r="D29" s="47"/>
      <c r="E29" s="47"/>
      <c r="F29" s="19"/>
      <c r="G29" s="47"/>
      <c r="H29" s="47"/>
      <c r="I29" s="1"/>
      <c r="J29" s="53" t="s">
        <v>90</v>
      </c>
      <c r="K29" s="53"/>
      <c r="L29" s="54">
        <f>SUM(L19:L28)</f>
        <v>100</v>
      </c>
      <c r="M29" s="57"/>
      <c r="N29" s="9"/>
      <c r="O29" s="9"/>
      <c r="P29" s="57"/>
      <c r="Q29" s="42" t="s">
        <v>34</v>
      </c>
      <c r="R29" s="42" t="s">
        <v>65</v>
      </c>
      <c r="S29" s="28"/>
      <c r="T29" s="62">
        <v>9.0</v>
      </c>
      <c r="U29" s="62">
        <v>8.514E9</v>
      </c>
      <c r="V29" s="62">
        <v>5.52271E8</v>
      </c>
      <c r="W29" s="85">
        <v>99.7</v>
      </c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4">
        <f>SUM(E6:E29)</f>
        <v>351733000</v>
      </c>
      <c r="F30" s="19"/>
      <c r="G30" s="19" t="s">
        <v>90</v>
      </c>
      <c r="H30" s="64">
        <f>SUM(H6:H29)</f>
        <v>-40644000</v>
      </c>
      <c r="I30" s="1"/>
      <c r="J30" s="1"/>
      <c r="K30" s="1"/>
      <c r="L30" s="1"/>
      <c r="M30" s="57"/>
      <c r="N30" s="9"/>
      <c r="O30" s="9"/>
      <c r="P30" s="57"/>
      <c r="Q30" s="42" t="s">
        <v>34</v>
      </c>
      <c r="R30" s="42" t="s">
        <v>44</v>
      </c>
      <c r="S30" s="28"/>
      <c r="T30" s="62">
        <v>1.0</v>
      </c>
      <c r="U30" s="62">
        <v>2.19E8</v>
      </c>
      <c r="V30" s="28">
        <v>1.1442E7</v>
      </c>
      <c r="W30" s="85">
        <v>95.0</v>
      </c>
      <c r="X30" s="1"/>
      <c r="Y30" s="9"/>
      <c r="Z30" s="9"/>
      <c r="AA30" s="9"/>
    </row>
    <row r="31">
      <c r="A31" s="1"/>
      <c r="B31" s="1"/>
      <c r="C31" s="19"/>
      <c r="D31" s="65" t="s">
        <v>116</v>
      </c>
      <c r="E31" s="66" t="str">
        <f>IF(B5=E30, "True", "False")</f>
        <v>True</v>
      </c>
      <c r="F31" s="19"/>
      <c r="G31" s="65" t="s">
        <v>116</v>
      </c>
      <c r="H31" s="66" t="str">
        <f>IF(B8=H30, "True", "False")</f>
        <v>True</v>
      </c>
      <c r="I31" s="1"/>
      <c r="J31" s="1"/>
      <c r="K31" s="1"/>
      <c r="L31" s="1"/>
      <c r="M31" s="57"/>
      <c r="N31" s="9"/>
      <c r="O31" s="9"/>
      <c r="P31" s="57"/>
      <c r="Q31" s="42"/>
      <c r="R31" s="42"/>
      <c r="S31" s="28"/>
      <c r="T31" s="62"/>
      <c r="U31" s="62"/>
      <c r="V31" s="28"/>
      <c r="W31" s="85"/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7"/>
      <c r="N32" s="9"/>
      <c r="O32" s="9"/>
      <c r="P32" s="9"/>
      <c r="Q32" s="42"/>
      <c r="R32" s="42"/>
      <c r="S32" s="28"/>
      <c r="T32" s="62"/>
      <c r="U32" s="62"/>
      <c r="V32" s="28"/>
      <c r="W32" s="85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42"/>
      <c r="R33" s="42"/>
      <c r="S33" s="28"/>
      <c r="T33" s="62"/>
      <c r="U33" s="62"/>
      <c r="V33" s="28"/>
      <c r="W33" s="85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42"/>
      <c r="R34" s="42"/>
      <c r="S34" s="28"/>
      <c r="T34" s="62"/>
      <c r="U34" s="62"/>
      <c r="V34" s="28"/>
      <c r="W34" s="85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42"/>
      <c r="R35" s="42"/>
      <c r="S35" s="28"/>
      <c r="T35" s="62"/>
      <c r="U35" s="62"/>
      <c r="V35" s="28"/>
      <c r="W35" s="85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67"/>
      <c r="P36" s="9"/>
      <c r="Q36" s="42"/>
      <c r="R36" s="42"/>
      <c r="S36" s="28"/>
      <c r="T36" s="62"/>
      <c r="U36" s="86"/>
      <c r="V36" s="72"/>
      <c r="W36" s="87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 t="s">
        <v>119</v>
      </c>
      <c r="O37" s="42"/>
      <c r="P37" s="1"/>
      <c r="Q37" s="42"/>
      <c r="R37" s="42"/>
      <c r="S37" s="28"/>
      <c r="T37" s="62"/>
      <c r="U37" s="62"/>
      <c r="V37" s="28"/>
      <c r="W37" s="85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 t="s">
        <v>120</v>
      </c>
      <c r="O38" s="42"/>
      <c r="P38" s="1"/>
      <c r="Q38" s="42"/>
      <c r="R38" s="42"/>
      <c r="S38" s="28"/>
      <c r="T38" s="62"/>
      <c r="U38" s="62"/>
      <c r="V38" s="28"/>
      <c r="W38" s="85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 t="s">
        <v>121</v>
      </c>
      <c r="O39" s="42"/>
      <c r="P39" s="1"/>
      <c r="Q39" s="42"/>
      <c r="R39" s="42"/>
      <c r="S39" s="28"/>
      <c r="T39" s="62"/>
      <c r="U39" s="62"/>
      <c r="V39" s="28"/>
      <c r="W39" s="85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 t="s">
        <v>122</v>
      </c>
      <c r="O40" s="72">
        <f>44786000+21000</f>
        <v>44807000</v>
      </c>
      <c r="P40" s="8"/>
      <c r="Q40" s="42"/>
      <c r="R40" s="42"/>
      <c r="S40" s="28"/>
      <c r="T40" s="68"/>
      <c r="U40" s="68"/>
      <c r="V40" s="28"/>
      <c r="W40" s="85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9" t="s">
        <v>90</v>
      </c>
      <c r="T41" s="70">
        <f t="shared" ref="T41:V41" si="1">sum(T29:T40)</f>
        <v>10</v>
      </c>
      <c r="U41" s="70">
        <f t="shared" si="1"/>
        <v>8733000000</v>
      </c>
      <c r="V41" s="70">
        <f t="shared" si="1"/>
        <v>563713000</v>
      </c>
      <c r="W41" s="4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"/>
      <c r="O42" s="8" t="s">
        <v>123</v>
      </c>
      <c r="P42" s="1"/>
      <c r="Q42" s="1"/>
      <c r="R42" s="1"/>
      <c r="S42" s="1"/>
      <c r="T42" s="1"/>
      <c r="U42" s="1"/>
      <c r="V42" s="1"/>
      <c r="W42" s="79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10" t="s">
        <v>124</v>
      </c>
      <c r="O43" s="72">
        <v>1.775918E9</v>
      </c>
      <c r="P43" s="1"/>
      <c r="Q43" s="1"/>
      <c r="R43" s="1"/>
      <c r="S43" s="1"/>
      <c r="T43" s="8"/>
      <c r="U43" s="8"/>
      <c r="V43" s="1"/>
      <c r="W43" s="79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12" t="s">
        <v>125</v>
      </c>
      <c r="O44" s="72">
        <v>1.784493E9</v>
      </c>
      <c r="P44" s="1"/>
      <c r="Q44" s="1"/>
      <c r="R44" s="1"/>
      <c r="S44" s="1"/>
      <c r="T44" s="1"/>
      <c r="U44" s="1"/>
      <c r="V44" s="1"/>
      <c r="W44" s="79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98" t="s">
        <v>126</v>
      </c>
      <c r="O45" s="75">
        <v>3.17378E8</v>
      </c>
      <c r="P45" s="1"/>
      <c r="Q45" s="1"/>
      <c r="R45" s="1"/>
      <c r="S45" s="1"/>
      <c r="T45" s="1"/>
      <c r="U45" s="1"/>
      <c r="V45" s="1"/>
      <c r="W45" s="79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99" t="s">
        <v>127</v>
      </c>
      <c r="O46" s="75">
        <v>2.13221E8</v>
      </c>
      <c r="P46" s="1"/>
      <c r="Q46" s="1"/>
      <c r="R46" s="1"/>
      <c r="S46" s="1"/>
      <c r="T46" s="1"/>
      <c r="U46" s="1"/>
      <c r="V46" s="1"/>
      <c r="W46" s="79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9" t="s">
        <v>128</v>
      </c>
      <c r="O47" s="75">
        <v>2.07971E8</v>
      </c>
      <c r="P47" s="1"/>
      <c r="Q47" s="1"/>
      <c r="R47" s="1"/>
      <c r="S47" s="1"/>
      <c r="T47" s="1"/>
      <c r="U47" s="1"/>
      <c r="V47" s="1"/>
      <c r="W47" s="79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99" t="s">
        <v>129</v>
      </c>
      <c r="O48" s="75">
        <v>1.09407E8</v>
      </c>
      <c r="P48" s="1"/>
      <c r="Q48" s="1"/>
      <c r="R48" s="1"/>
      <c r="S48" s="1"/>
      <c r="T48" s="1"/>
      <c r="U48" s="1"/>
      <c r="V48" s="1"/>
      <c r="W48" s="79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130</v>
      </c>
      <c r="O49" s="83">
        <v>1.811673E9</v>
      </c>
      <c r="R49" s="1"/>
      <c r="S49" s="1"/>
      <c r="T49" s="1"/>
      <c r="U49" s="1"/>
      <c r="V49" s="1"/>
      <c r="W49" s="79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N50" s="77" t="s">
        <v>131</v>
      </c>
      <c r="O50" s="120">
        <v>5850000.0</v>
      </c>
      <c r="R50" s="1"/>
      <c r="S50" s="1"/>
      <c r="T50" s="1"/>
      <c r="U50" s="1"/>
      <c r="V50" s="1"/>
      <c r="W50" s="79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R51" s="1"/>
      <c r="S51" s="1"/>
      <c r="T51" s="1"/>
      <c r="U51" s="1"/>
      <c r="V51" s="1"/>
      <c r="W51" s="79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R52" s="1"/>
      <c r="S52" s="1"/>
      <c r="T52" s="1"/>
      <c r="U52" s="1"/>
      <c r="V52" s="1"/>
      <c r="W52" s="79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R53" s="1"/>
      <c r="S53" s="1"/>
      <c r="T53" s="1"/>
      <c r="U53" s="1"/>
      <c r="V53" s="1"/>
      <c r="W53" s="79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R54" s="1"/>
      <c r="S54" s="1"/>
      <c r="T54" s="1"/>
      <c r="U54" s="1"/>
      <c r="V54" s="1"/>
      <c r="W54" s="79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R55" s="1"/>
      <c r="S55" s="1"/>
      <c r="T55" s="1"/>
      <c r="U55" s="1"/>
      <c r="V55" s="1"/>
      <c r="W55" s="79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R56" s="1"/>
      <c r="S56" s="1"/>
      <c r="T56" s="1"/>
      <c r="U56" s="1"/>
      <c r="V56" s="1"/>
      <c r="W56" s="79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R57" s="1"/>
      <c r="S57" s="1"/>
      <c r="T57" s="1"/>
      <c r="U57" s="1"/>
      <c r="V57" s="1"/>
      <c r="W57" s="79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R58" s="1"/>
      <c r="S58" s="1"/>
      <c r="T58" s="1"/>
      <c r="U58" s="1"/>
      <c r="V58" s="1"/>
      <c r="W58" s="79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R59" s="1"/>
      <c r="S59" s="1"/>
      <c r="T59" s="1"/>
      <c r="U59" s="1"/>
      <c r="V59" s="1"/>
      <c r="W59" s="79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R60" s="1"/>
      <c r="S60" s="1"/>
      <c r="T60" s="1"/>
      <c r="U60" s="1"/>
      <c r="V60" s="1"/>
      <c r="W60" s="79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R61" s="1"/>
      <c r="S61" s="1"/>
      <c r="T61" s="1"/>
      <c r="U61" s="1"/>
      <c r="V61" s="1"/>
      <c r="W61" s="79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R62" s="1"/>
      <c r="S62" s="1"/>
      <c r="T62" s="1"/>
      <c r="U62" s="1"/>
      <c r="V62" s="1"/>
      <c r="W62" s="79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R63" s="1"/>
      <c r="S63" s="1"/>
      <c r="T63" s="1"/>
      <c r="U63" s="1"/>
      <c r="V63" s="1"/>
      <c r="W63" s="79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R64" s="1"/>
      <c r="S64" s="1"/>
      <c r="T64" s="1"/>
      <c r="U64" s="1"/>
      <c r="V64" s="1"/>
      <c r="W64" s="79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R65" s="1"/>
      <c r="S65" s="1"/>
      <c r="T65" s="1"/>
      <c r="U65" s="1"/>
      <c r="V65" s="1"/>
      <c r="W65" s="79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R66" s="1"/>
      <c r="S66" s="1"/>
      <c r="T66" s="1"/>
      <c r="U66" s="1"/>
      <c r="V66" s="1"/>
      <c r="W66" s="79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R67" s="1"/>
      <c r="S67" s="1"/>
      <c r="T67" s="1"/>
      <c r="U67" s="1"/>
      <c r="V67" s="1"/>
      <c r="W67" s="79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R68" s="1"/>
      <c r="S68" s="1"/>
      <c r="T68" s="1"/>
      <c r="U68" s="1"/>
      <c r="V68" s="1"/>
      <c r="W68" s="79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R69" s="1"/>
      <c r="S69" s="1"/>
      <c r="T69" s="1"/>
      <c r="U69" s="1"/>
      <c r="V69" s="1"/>
      <c r="W69" s="79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R70" s="1"/>
      <c r="S70" s="1"/>
      <c r="T70" s="1"/>
      <c r="U70" s="1"/>
      <c r="V70" s="1"/>
      <c r="W70" s="79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R71" s="1"/>
      <c r="S71" s="1"/>
      <c r="T71" s="1"/>
      <c r="U71" s="1"/>
      <c r="V71" s="1"/>
      <c r="W71" s="79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R72" s="1"/>
      <c r="S72" s="1"/>
      <c r="T72" s="1"/>
      <c r="U72" s="1"/>
      <c r="V72" s="1"/>
      <c r="W72" s="79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R73" s="1"/>
      <c r="S73" s="1"/>
      <c r="T73" s="1"/>
      <c r="U73" s="1"/>
      <c r="V73" s="1"/>
      <c r="W73" s="79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R74" s="1"/>
      <c r="S74" s="1"/>
      <c r="T74" s="1"/>
      <c r="U74" s="1"/>
      <c r="V74" s="1"/>
      <c r="W74" s="79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R75" s="1"/>
      <c r="S75" s="1"/>
      <c r="T75" s="1"/>
      <c r="U75" s="1"/>
      <c r="V75" s="1"/>
      <c r="W75" s="79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R76" s="1"/>
      <c r="S76" s="1"/>
      <c r="T76" s="1"/>
      <c r="U76" s="1"/>
      <c r="V76" s="1"/>
      <c r="W76" s="79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R77" s="1"/>
      <c r="S77" s="1"/>
      <c r="T77" s="1"/>
      <c r="U77" s="1"/>
      <c r="V77" s="1"/>
      <c r="W77" s="79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R78" s="1"/>
      <c r="S78" s="1"/>
      <c r="T78" s="1"/>
      <c r="U78" s="1"/>
      <c r="V78" s="1"/>
      <c r="W78" s="79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R79" s="1"/>
      <c r="S79" s="1"/>
      <c r="T79" s="1"/>
      <c r="U79" s="1"/>
      <c r="V79" s="1"/>
      <c r="W79" s="79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R80" s="1"/>
      <c r="S80" s="1"/>
      <c r="T80" s="1"/>
      <c r="U80" s="1"/>
      <c r="V80" s="1"/>
      <c r="W80" s="79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R81" s="1"/>
      <c r="S81" s="1"/>
      <c r="T81" s="1"/>
      <c r="U81" s="1"/>
      <c r="V81" s="1"/>
      <c r="W81" s="79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R82" s="1"/>
      <c r="S82" s="1"/>
      <c r="T82" s="1"/>
      <c r="U82" s="1"/>
      <c r="V82" s="1"/>
      <c r="W82" s="79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R83" s="1"/>
      <c r="S83" s="1"/>
      <c r="T83" s="1"/>
      <c r="U83" s="1"/>
      <c r="V83" s="1"/>
      <c r="W83" s="79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R84" s="1"/>
      <c r="S84" s="1"/>
      <c r="T84" s="1"/>
      <c r="U84" s="1"/>
      <c r="V84" s="1"/>
      <c r="W84" s="79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R85" s="1"/>
      <c r="S85" s="1"/>
      <c r="T85" s="1"/>
      <c r="U85" s="1"/>
      <c r="V85" s="1"/>
      <c r="W85" s="79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R86" s="1"/>
      <c r="S86" s="1"/>
      <c r="T86" s="1"/>
      <c r="U86" s="1"/>
      <c r="V86" s="1"/>
      <c r="W86" s="79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R87" s="1"/>
      <c r="S87" s="1"/>
      <c r="T87" s="1"/>
      <c r="U87" s="1"/>
      <c r="V87" s="1"/>
      <c r="W87" s="79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79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79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79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79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79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79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79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79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79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79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79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79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79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79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9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9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79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9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79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79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79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79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9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9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9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9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9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9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9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9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9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9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9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9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9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9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9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9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9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9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9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9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9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9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9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9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9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9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9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9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9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9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9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9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9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9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9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9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9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79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79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79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79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79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79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79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79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79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79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79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79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79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79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79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79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79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79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79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79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79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79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79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79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79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79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79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79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79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79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79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79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79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79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79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79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79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79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79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79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79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79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79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79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79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79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79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79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79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79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79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79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79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79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79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79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79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79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79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79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79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79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79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79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79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79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79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79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79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79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79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79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79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79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79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79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79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79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79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79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79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79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79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79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79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79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79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79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79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79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79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79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79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79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79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79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79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79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79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79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79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79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79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79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79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79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79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79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79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79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79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79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79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79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79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79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79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79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79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79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79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79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79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79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79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79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79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79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79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79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79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79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79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79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79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79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79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79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79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79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79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79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79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79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79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79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79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79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79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79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79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79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79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79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79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79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79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79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79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79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79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79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79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79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79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79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79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79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79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79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79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79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79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79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79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79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79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79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79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79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79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79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79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79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79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79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79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79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79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79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79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79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79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79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79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79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79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79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79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79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79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79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79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79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79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79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79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79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79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79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79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9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9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9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9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79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79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79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79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9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79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79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79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79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79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79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79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79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79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79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79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79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79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79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79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79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79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79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79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79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79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79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79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79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79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79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79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79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79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79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79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79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79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79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79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79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79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79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79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79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79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79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79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79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79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79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79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79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79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79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79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79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79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79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79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79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79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79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79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79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79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79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79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79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79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79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79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79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79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79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79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79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79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79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79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79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79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79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79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79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79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79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79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79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79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79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79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79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79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79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79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79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79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79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79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79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79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79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79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79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79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79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79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79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79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79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79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79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79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79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79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79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79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79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79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79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79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79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79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79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79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79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79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79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79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79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79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79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79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79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79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79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79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79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79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79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79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79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79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79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79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79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79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79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79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79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79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79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79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79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79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79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79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79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79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79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79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79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79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79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79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79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79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79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79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79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79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79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79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79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79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79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79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79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79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79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79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79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79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79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79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79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79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79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79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79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79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79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79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79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79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79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79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79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79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79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79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79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79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79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79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79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79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79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79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79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79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79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79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79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79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79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79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79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79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79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79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79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79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79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79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79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79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79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79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79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79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79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79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79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79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79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79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79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79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79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79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79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79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79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79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79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79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79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79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79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79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79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79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79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79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79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79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79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79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79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79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79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79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79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79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79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79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79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79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79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79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79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79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79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79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79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79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79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79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79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79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79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79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79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79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79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79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79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79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79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79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79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79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79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79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79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79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79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79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79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79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79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79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79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79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79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79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79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79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79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79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79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79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79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79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79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79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79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79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79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79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79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79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79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79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79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79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79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79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79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79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79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79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79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79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79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79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79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79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79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79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79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79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79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79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79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79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79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79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79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79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79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79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79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79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79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79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79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79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79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79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79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79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79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79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79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79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79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79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79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79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79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79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79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79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79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79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79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79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79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79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79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79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79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79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79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79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79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79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79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79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79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79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79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79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79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79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79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79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79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79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79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79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79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79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79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79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79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79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79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79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79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79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79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79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79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79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79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79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79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79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79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79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79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79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79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79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79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79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79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79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79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79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79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79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79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79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79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79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79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79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79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79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79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79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79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79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79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79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79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79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79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79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79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79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79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79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79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79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79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79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79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79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79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79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79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79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79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79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79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79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79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79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79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79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79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79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79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79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79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79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79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79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79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79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79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79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79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79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79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79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79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79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79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79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79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79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79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79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79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79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79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79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79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79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79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79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79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79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79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79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79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79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79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79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79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79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79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79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79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79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79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79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79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79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79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79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79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79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79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79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79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79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79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79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79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79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79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79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79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79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79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79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79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79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79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79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79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79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79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79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79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79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79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79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79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79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79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79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79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79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79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79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79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79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79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79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79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79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79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79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79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79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79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79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79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79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79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79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79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79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79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79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79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79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79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79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79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79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79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79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79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79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79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79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79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79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79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79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79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79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79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79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79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79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79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"/>
      <c r="U969" s="1"/>
      <c r="V969" s="1"/>
      <c r="W969" s="79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"/>
      <c r="U970" s="1"/>
      <c r="V970" s="1"/>
      <c r="W970" s="79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"/>
      <c r="U971" s="1"/>
      <c r="V971" s="1"/>
      <c r="W971" s="79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"/>
      <c r="U972" s="1"/>
      <c r="V972" s="1"/>
      <c r="W972" s="79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"/>
      <c r="U973" s="1"/>
      <c r="V973" s="1"/>
      <c r="W973" s="79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Q974" s="1"/>
      <c r="R974" s="1"/>
      <c r="S974" s="1"/>
      <c r="T974" s="1"/>
      <c r="U974" s="1"/>
      <c r="V974" s="1"/>
      <c r="W974" s="79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Q975" s="1"/>
      <c r="R975" s="1"/>
      <c r="S975" s="1"/>
      <c r="T975" s="1"/>
      <c r="U975" s="1"/>
      <c r="V975" s="1"/>
      <c r="W975" s="79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Q976" s="1"/>
      <c r="R976" s="1"/>
      <c r="S976" s="1"/>
      <c r="T976" s="1"/>
      <c r="U976" s="1"/>
      <c r="V976" s="1"/>
      <c r="W976" s="79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Q977" s="1"/>
      <c r="R977" s="1"/>
      <c r="S977" s="1"/>
      <c r="T977" s="1"/>
      <c r="U977" s="1"/>
      <c r="V977" s="1"/>
      <c r="W977" s="79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Q978" s="1"/>
      <c r="R978" s="1"/>
      <c r="S978" s="1"/>
      <c r="T978" s="1"/>
      <c r="U978" s="1"/>
      <c r="V978" s="1"/>
      <c r="W978" s="79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Q979" s="1"/>
      <c r="R979" s="1"/>
      <c r="S979" s="1"/>
      <c r="T979" s="1"/>
      <c r="U979" s="1"/>
      <c r="V979" s="1"/>
      <c r="W979" s="79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Q980" s="1"/>
      <c r="R980" s="1"/>
      <c r="S980" s="1"/>
      <c r="T980" s="1"/>
      <c r="U980" s="1"/>
      <c r="V980" s="1"/>
      <c r="W980" s="79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Q981" s="1"/>
      <c r="R981" s="1"/>
      <c r="S981" s="1"/>
      <c r="T981" s="1"/>
      <c r="U981" s="1"/>
      <c r="V981" s="1"/>
      <c r="W981" s="79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Q982" s="1"/>
      <c r="R982" s="1"/>
      <c r="S982" s="1"/>
      <c r="T982" s="1"/>
      <c r="U982" s="1"/>
      <c r="V982" s="1"/>
      <c r="W982" s="79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Q983" s="1"/>
      <c r="R983" s="1"/>
      <c r="S983" s="1"/>
      <c r="T983" s="1"/>
      <c r="U983" s="1"/>
      <c r="V983" s="1"/>
      <c r="W983" s="79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Q984" s="1"/>
      <c r="R984" s="1"/>
      <c r="S984" s="1"/>
      <c r="T984" s="1"/>
      <c r="U984" s="1"/>
      <c r="V984" s="1"/>
      <c r="W984" s="79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Q985" s="1"/>
      <c r="R985" s="1"/>
      <c r="S985" s="1"/>
      <c r="T985" s="1"/>
      <c r="U985" s="1"/>
      <c r="V985" s="1"/>
      <c r="W985" s="79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Q986" s="1"/>
      <c r="R986" s="1"/>
      <c r="S986" s="1"/>
      <c r="T986" s="1"/>
      <c r="U986" s="1"/>
      <c r="V986" s="1"/>
      <c r="W986" s="79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Q987" s="1"/>
      <c r="R987" s="1"/>
      <c r="S987" s="1"/>
      <c r="T987" s="1"/>
      <c r="U987" s="1"/>
      <c r="V987" s="1"/>
      <c r="W987" s="79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Q988" s="1"/>
      <c r="R988" s="1"/>
      <c r="S988" s="1"/>
      <c r="T988" s="1"/>
      <c r="U988" s="1"/>
      <c r="V988" s="1"/>
      <c r="W988" s="79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Q989" s="1"/>
      <c r="R989" s="1"/>
      <c r="S989" s="1"/>
      <c r="T989" s="1"/>
      <c r="U989" s="1"/>
      <c r="V989" s="1"/>
      <c r="W989" s="79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Q990" s="1"/>
      <c r="R990" s="1"/>
      <c r="S990" s="1"/>
      <c r="T990" s="1"/>
      <c r="U990" s="1"/>
      <c r="V990" s="1"/>
      <c r="W990" s="79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Q991" s="1"/>
      <c r="R991" s="1"/>
      <c r="S991" s="1"/>
      <c r="T991" s="1"/>
      <c r="U991" s="1"/>
      <c r="V991" s="1"/>
      <c r="W991" s="79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Q992" s="1"/>
      <c r="R992" s="1"/>
      <c r="S992" s="1"/>
      <c r="T992" s="1"/>
      <c r="U992" s="1"/>
      <c r="V992" s="1"/>
      <c r="W992" s="79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Q993" s="1"/>
      <c r="R993" s="1"/>
      <c r="S993" s="1"/>
      <c r="T993" s="1"/>
      <c r="U993" s="1"/>
      <c r="V993" s="1"/>
      <c r="W993" s="79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Q994" s="1"/>
      <c r="R994" s="1"/>
      <c r="S994" s="1"/>
      <c r="T994" s="1"/>
      <c r="U994" s="1"/>
      <c r="V994" s="1"/>
      <c r="W994" s="79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Q995" s="1"/>
      <c r="X995" s="1"/>
      <c r="Y995" s="1"/>
      <c r="Z995" s="1"/>
      <c r="AA995" s="1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29 R31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11">
      <formula1>"Sales &amp; Marketing,General &amp; Admin,R&amp;D,Salaries &amp; Benefits,Other expenses"</formula1>
    </dataValidation>
    <dataValidation type="list" allowBlank="1" showErrorMessage="1" sqref="Q6:Q25 Q29:Q40">
      <formula1>"Australia,Germany,Singapore,United States,United Kingdom/Europe,China,South Korea,Japan,Hong Kong,Vietnam,Malaysia,India"</formula1>
    </dataValidation>
    <dataValidation type="list" allowBlank="1" showErrorMessage="1" sqref="C6:C14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20:J25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6:R25 R30">
      <formula1>"Business Space, Life Sciences,Industrial,Logistics,Data Centers,Retail,Office,Hi-Tech Buildings,Flatted Factories,Stack-up Buildings"</formula1>
    </dataValidation>
  </dataValidations>
  <hyperlinks>
    <hyperlink r:id="rId1" ref="B1"/>
    <hyperlink r:id="rId2" ref="B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9" width="26.5"/>
    <col customWidth="1" min="10" max="10" width="30.75"/>
    <col customWidth="1" min="11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0.88"/>
    <col customWidth="1" min="18" max="18" width="18.88"/>
    <col customWidth="1" min="19" max="19" width="36.88"/>
    <col customWidth="1" min="20" max="20" width="12.25"/>
    <col customWidth="1" min="21" max="21" width="18.75"/>
    <col customWidth="1" min="22" max="22" width="16.63"/>
    <col customWidth="1" min="23" max="27" width="26.5"/>
  </cols>
  <sheetData>
    <row r="1">
      <c r="A1" s="1" t="s">
        <v>0</v>
      </c>
      <c r="B1" s="2" t="s">
        <v>312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21"/>
      <c r="U1" s="1"/>
      <c r="V1" s="1"/>
      <c r="W1" s="79"/>
      <c r="X1" s="1"/>
      <c r="Y1" s="1"/>
      <c r="Z1" s="1"/>
      <c r="AA1" s="1"/>
    </row>
    <row r="2">
      <c r="A2" s="1" t="s">
        <v>2</v>
      </c>
      <c r="B2" s="5" t="s">
        <v>313</v>
      </c>
      <c r="C2" s="1"/>
      <c r="D2" s="6" t="s">
        <v>4</v>
      </c>
      <c r="E2" s="84">
        <v>45657.0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21"/>
      <c r="U2" s="1"/>
      <c r="V2" s="1"/>
      <c r="W2" s="79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21"/>
      <c r="U3" s="1"/>
      <c r="V3" s="1"/>
      <c r="W3" s="79"/>
      <c r="X3" s="1"/>
      <c r="Y3" s="9"/>
      <c r="Z3" s="9"/>
      <c r="AA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4.63556E8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2.75143E8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/>
      <c r="AA5" s="9"/>
    </row>
    <row r="6">
      <c r="A6" s="17" t="s">
        <v>26</v>
      </c>
      <c r="B6" s="18">
        <f>333000-153130000</f>
        <v>-152797000</v>
      </c>
      <c r="C6" s="19" t="s">
        <v>27</v>
      </c>
      <c r="D6" s="32" t="s">
        <v>287</v>
      </c>
      <c r="E6" s="31">
        <v>4.62085E8</v>
      </c>
      <c r="F6" s="30" t="s">
        <v>29</v>
      </c>
      <c r="G6" s="31" t="s">
        <v>30</v>
      </c>
      <c r="H6" s="18">
        <v>-6.1342E7</v>
      </c>
      <c r="I6" s="8"/>
      <c r="J6" s="32" t="s">
        <v>314</v>
      </c>
      <c r="K6" s="45" t="s">
        <v>83</v>
      </c>
      <c r="L6" s="34">
        <v>2.5</v>
      </c>
      <c r="M6" s="1"/>
      <c r="N6" s="22" t="s">
        <v>33</v>
      </c>
      <c r="O6" s="23">
        <v>1.0675981E10</v>
      </c>
      <c r="P6" s="1"/>
      <c r="Q6" s="42" t="s">
        <v>34</v>
      </c>
      <c r="R6" s="42" t="s">
        <v>65</v>
      </c>
      <c r="S6" s="28" t="s">
        <v>315</v>
      </c>
      <c r="T6" s="122"/>
      <c r="U6" s="62">
        <v>2.183E9</v>
      </c>
      <c r="V6" s="28">
        <v>1.18453E8</v>
      </c>
      <c r="W6" s="85">
        <v>98.4</v>
      </c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310759000</v>
      </c>
      <c r="C7" s="30" t="s">
        <v>48</v>
      </c>
      <c r="D7" s="31" t="s">
        <v>46</v>
      </c>
      <c r="E7" s="31">
        <v>1471000.0</v>
      </c>
      <c r="F7" s="30" t="s">
        <v>29</v>
      </c>
      <c r="G7" s="31" t="s">
        <v>40</v>
      </c>
      <c r="H7" s="31">
        <v>-2034000.0</v>
      </c>
      <c r="I7" s="1"/>
      <c r="J7" s="32" t="s">
        <v>316</v>
      </c>
      <c r="K7" s="45" t="s">
        <v>112</v>
      </c>
      <c r="L7" s="41">
        <v>2.4</v>
      </c>
      <c r="M7" s="1"/>
      <c r="N7" s="42" t="s">
        <v>43</v>
      </c>
      <c r="O7" s="43">
        <f>sum(O5:O6)</f>
        <v>10951124000</v>
      </c>
      <c r="P7" s="1"/>
      <c r="Q7" s="42" t="s">
        <v>34</v>
      </c>
      <c r="R7" s="42" t="s">
        <v>44</v>
      </c>
      <c r="S7" s="28" t="s">
        <v>317</v>
      </c>
      <c r="T7" s="122"/>
      <c r="U7" s="62">
        <v>3.282874E9</v>
      </c>
      <c r="V7" s="28">
        <v>1.45931E8</v>
      </c>
      <c r="W7" s="85">
        <v>98.8</v>
      </c>
      <c r="X7" s="1"/>
      <c r="Y7" s="17" t="s">
        <v>46</v>
      </c>
      <c r="Z7" s="28"/>
      <c r="AA7" s="9"/>
    </row>
    <row r="8">
      <c r="A8" s="17" t="s">
        <v>47</v>
      </c>
      <c r="B8" s="18">
        <v>-6.9113E7</v>
      </c>
      <c r="C8" s="19"/>
      <c r="D8" s="31"/>
      <c r="E8" s="31"/>
      <c r="F8" s="30" t="s">
        <v>29</v>
      </c>
      <c r="G8" s="31" t="s">
        <v>49</v>
      </c>
      <c r="H8" s="31">
        <v>-2027000.0</v>
      </c>
      <c r="I8" s="1"/>
      <c r="J8" s="45" t="s">
        <v>318</v>
      </c>
      <c r="K8" s="33" t="s">
        <v>63</v>
      </c>
      <c r="L8" s="34">
        <v>2.1</v>
      </c>
      <c r="M8" s="1"/>
      <c r="N8" s="42" t="s">
        <v>51</v>
      </c>
      <c r="O8" s="23">
        <v>6.27271E8</v>
      </c>
      <c r="P8" s="1"/>
      <c r="Q8" s="42" t="s">
        <v>34</v>
      </c>
      <c r="R8" s="42" t="s">
        <v>65</v>
      </c>
      <c r="S8" s="28" t="s">
        <v>319</v>
      </c>
      <c r="T8" s="122">
        <v>66.3</v>
      </c>
      <c r="U8" s="62">
        <v>4.950621E8</v>
      </c>
      <c r="V8" s="28">
        <v>8.6134E7</v>
      </c>
      <c r="W8" s="85">
        <v>98.6</v>
      </c>
      <c r="X8" s="1"/>
      <c r="Y8" s="17" t="s">
        <v>53</v>
      </c>
      <c r="Z8" s="43">
        <f>SUM(Z5:Z7)</f>
        <v>0</v>
      </c>
      <c r="AA8" s="9"/>
    </row>
    <row r="9">
      <c r="A9" s="17" t="s">
        <v>54</v>
      </c>
      <c r="B9" s="40">
        <f>sum(B7:B8)</f>
        <v>241646000</v>
      </c>
      <c r="C9" s="19"/>
      <c r="D9" s="31"/>
      <c r="E9" s="31"/>
      <c r="F9" s="30" t="s">
        <v>29</v>
      </c>
      <c r="G9" s="31" t="s">
        <v>55</v>
      </c>
      <c r="H9" s="31">
        <v>-1026000.0</v>
      </c>
      <c r="I9" s="1"/>
      <c r="J9" s="45" t="s">
        <v>320</v>
      </c>
      <c r="K9" s="45" t="s">
        <v>112</v>
      </c>
      <c r="L9" s="34">
        <v>2.1</v>
      </c>
      <c r="M9" s="1"/>
      <c r="N9" s="42" t="s">
        <v>58</v>
      </c>
      <c r="O9" s="23">
        <v>3.838206E9</v>
      </c>
      <c r="P9" s="1"/>
      <c r="Q9" s="42" t="s">
        <v>117</v>
      </c>
      <c r="R9" s="42" t="s">
        <v>65</v>
      </c>
      <c r="S9" s="28" t="s">
        <v>321</v>
      </c>
      <c r="T9" s="122"/>
      <c r="U9" s="62">
        <v>5.00184E8</v>
      </c>
      <c r="V9" s="28">
        <v>3.4642E7</v>
      </c>
      <c r="W9" s="85">
        <v>100.0</v>
      </c>
      <c r="X9" s="1"/>
      <c r="Y9" s="9"/>
      <c r="Z9" s="9"/>
      <c r="AA9" s="9"/>
    </row>
    <row r="10">
      <c r="A10" s="17" t="s">
        <v>60</v>
      </c>
      <c r="B10" s="18">
        <f>1165000+80498000-157952000-12576000-29994000+14992000</f>
        <v>-103867000</v>
      </c>
      <c r="C10" s="19"/>
      <c r="D10" s="31"/>
      <c r="E10" s="31"/>
      <c r="F10" s="30" t="s">
        <v>29</v>
      </c>
      <c r="G10" s="49" t="s">
        <v>68</v>
      </c>
      <c r="H10" s="31">
        <v>-243000.0</v>
      </c>
      <c r="I10" s="1"/>
      <c r="J10" s="33" t="s">
        <v>322</v>
      </c>
      <c r="K10" s="45" t="s">
        <v>83</v>
      </c>
      <c r="L10" s="34">
        <v>2.0</v>
      </c>
      <c r="M10" s="1"/>
      <c r="N10" s="42" t="s">
        <v>64</v>
      </c>
      <c r="O10" s="43">
        <f>sum(O8:O9)</f>
        <v>4465477000</v>
      </c>
      <c r="P10" s="1"/>
      <c r="Q10" s="42" t="s">
        <v>117</v>
      </c>
      <c r="R10" s="42" t="s">
        <v>44</v>
      </c>
      <c r="S10" s="28" t="s">
        <v>323</v>
      </c>
      <c r="T10" s="122"/>
      <c r="U10" s="62">
        <v>2.11095E8</v>
      </c>
      <c r="V10" s="28">
        <v>1.8781E7</v>
      </c>
      <c r="W10" s="85">
        <v>100.0</v>
      </c>
      <c r="X10" s="1"/>
      <c r="Y10" s="9"/>
      <c r="Z10" s="9"/>
      <c r="AA10" s="9"/>
    </row>
    <row r="11">
      <c r="A11" s="17" t="s">
        <v>67</v>
      </c>
      <c r="B11" s="40">
        <f>sum(B9:B10)</f>
        <v>137779000</v>
      </c>
      <c r="C11" s="19"/>
      <c r="D11" s="31"/>
      <c r="E11" s="31"/>
      <c r="F11" s="30" t="s">
        <v>61</v>
      </c>
      <c r="G11" s="31" t="s">
        <v>46</v>
      </c>
      <c r="H11" s="31">
        <v>-2441000.0</v>
      </c>
      <c r="I11" s="1"/>
      <c r="J11" s="32" t="s">
        <v>324</v>
      </c>
      <c r="K11" s="45" t="s">
        <v>42</v>
      </c>
      <c r="L11" s="41">
        <v>2.0</v>
      </c>
      <c r="M11" s="9"/>
      <c r="N11" s="42" t="s">
        <v>70</v>
      </c>
      <c r="O11" s="43">
        <f>O7-O10</f>
        <v>6485647000</v>
      </c>
      <c r="P11" s="9"/>
      <c r="Q11" s="42" t="s">
        <v>117</v>
      </c>
      <c r="R11" s="42" t="s">
        <v>65</v>
      </c>
      <c r="S11" s="28" t="s">
        <v>325</v>
      </c>
      <c r="T11" s="122"/>
      <c r="U11" s="62">
        <v>9.7494E7</v>
      </c>
      <c r="V11" s="28">
        <v>8927000.0</v>
      </c>
      <c r="W11" s="85">
        <v>61.4</v>
      </c>
      <c r="X11" s="1"/>
      <c r="Y11" s="9"/>
      <c r="Z11" s="9"/>
      <c r="AA11" s="9"/>
    </row>
    <row r="12">
      <c r="A12" s="17" t="s">
        <v>72</v>
      </c>
      <c r="B12" s="50">
        <v>-1625000.0</v>
      </c>
      <c r="C12" s="19"/>
      <c r="D12" s="31"/>
      <c r="E12" s="31"/>
      <c r="F12" s="48"/>
      <c r="G12" s="49"/>
      <c r="H12" s="31"/>
      <c r="I12" s="1"/>
      <c r="J12" s="123" t="s">
        <v>69</v>
      </c>
      <c r="K12" s="123" t="s">
        <v>209</v>
      </c>
      <c r="L12" s="124">
        <v>2.2</v>
      </c>
      <c r="M12" s="9"/>
      <c r="N12" s="9"/>
      <c r="O12" s="9"/>
      <c r="P12" s="9"/>
      <c r="Q12" s="42" t="s">
        <v>117</v>
      </c>
      <c r="R12" s="42" t="s">
        <v>44</v>
      </c>
      <c r="S12" s="28" t="s">
        <v>326</v>
      </c>
      <c r="T12" s="122">
        <v>50.0</v>
      </c>
      <c r="U12" s="62">
        <v>3.60302E8</v>
      </c>
      <c r="V12" s="28">
        <v>2.679E7</v>
      </c>
      <c r="W12" s="85">
        <v>100.0</v>
      </c>
      <c r="X12" s="1"/>
      <c r="Y12" s="9"/>
      <c r="Z12" s="9"/>
      <c r="AA12" s="9"/>
    </row>
    <row r="13">
      <c r="A13" s="17" t="s">
        <v>76</v>
      </c>
      <c r="B13" s="40">
        <f>SUM(B11:B12)</f>
        <v>136154000</v>
      </c>
      <c r="C13" s="19"/>
      <c r="D13" s="31"/>
      <c r="E13" s="31"/>
      <c r="F13" s="19"/>
      <c r="G13" s="47"/>
      <c r="H13" s="47"/>
      <c r="I13" s="1"/>
      <c r="J13" s="125" t="s">
        <v>327</v>
      </c>
      <c r="K13" s="126" t="s">
        <v>32</v>
      </c>
      <c r="L13" s="127">
        <v>2.2</v>
      </c>
      <c r="M13" s="9"/>
      <c r="N13" s="42" t="s">
        <v>79</v>
      </c>
      <c r="O13" s="51">
        <f>O5-O8</f>
        <v>-352128000</v>
      </c>
      <c r="P13" s="9"/>
      <c r="Q13" s="42" t="s">
        <v>174</v>
      </c>
      <c r="R13" s="42" t="s">
        <v>44</v>
      </c>
      <c r="S13" s="28" t="s">
        <v>328</v>
      </c>
      <c r="T13" s="128"/>
      <c r="U13" s="68">
        <v>4.5863E8</v>
      </c>
      <c r="V13" s="28">
        <v>2.3898E7</v>
      </c>
      <c r="W13" s="85">
        <v>90.8</v>
      </c>
      <c r="X13" s="1"/>
      <c r="Y13" s="9"/>
      <c r="Z13" s="9"/>
      <c r="AA13" s="9"/>
    </row>
    <row r="14">
      <c r="A14" s="17" t="s">
        <v>81</v>
      </c>
      <c r="B14" s="50">
        <v>-9376000.0</v>
      </c>
      <c r="C14" s="30"/>
      <c r="D14" s="32"/>
      <c r="E14" s="18"/>
      <c r="F14" s="19"/>
      <c r="G14" s="47"/>
      <c r="H14" s="47"/>
      <c r="I14" s="1"/>
      <c r="J14" s="125" t="s">
        <v>329</v>
      </c>
      <c r="K14" s="123" t="s">
        <v>32</v>
      </c>
      <c r="L14" s="127">
        <v>2.2</v>
      </c>
      <c r="M14" s="9"/>
      <c r="P14" s="9"/>
      <c r="Q14" s="42" t="s">
        <v>117</v>
      </c>
      <c r="R14" s="42" t="s">
        <v>65</v>
      </c>
      <c r="S14" s="28" t="s">
        <v>330</v>
      </c>
      <c r="T14" s="122">
        <v>50.0</v>
      </c>
      <c r="U14" s="62">
        <v>2.843E8</v>
      </c>
      <c r="V14" s="28">
        <v>2500000.0</v>
      </c>
      <c r="W14" s="85">
        <v>90.0</v>
      </c>
      <c r="X14" s="1"/>
      <c r="Y14" s="9"/>
      <c r="Z14" s="9"/>
      <c r="AA14" s="9"/>
    </row>
    <row r="15">
      <c r="A15" s="42" t="s">
        <v>85</v>
      </c>
      <c r="B15" s="50">
        <v>-1.4013E7</v>
      </c>
      <c r="C15" s="19"/>
      <c r="D15" s="31"/>
      <c r="E15" s="31"/>
      <c r="F15" s="19"/>
      <c r="G15" s="47"/>
      <c r="H15" s="47"/>
      <c r="I15" s="1"/>
      <c r="J15" s="125" t="s">
        <v>331</v>
      </c>
      <c r="K15" s="123" t="s">
        <v>74</v>
      </c>
      <c r="L15" s="127">
        <v>2.0</v>
      </c>
      <c r="M15" s="1"/>
      <c r="N15" s="8" t="s">
        <v>87</v>
      </c>
      <c r="O15" s="9"/>
      <c r="P15" s="1"/>
      <c r="Q15" s="42" t="s">
        <v>34</v>
      </c>
      <c r="R15" s="42" t="s">
        <v>44</v>
      </c>
      <c r="S15" s="28" t="s">
        <v>332</v>
      </c>
      <c r="T15" s="128">
        <v>33.33</v>
      </c>
      <c r="U15" s="68">
        <v>1.36E9</v>
      </c>
      <c r="V15" s="28">
        <v>3.02E7</v>
      </c>
      <c r="W15" s="85">
        <v>98.7</v>
      </c>
      <c r="X15" s="1"/>
      <c r="Y15" s="9"/>
      <c r="Z15" s="9"/>
      <c r="AA15" s="9"/>
    </row>
    <row r="16">
      <c r="A16" s="42" t="s">
        <v>89</v>
      </c>
      <c r="B16" s="40">
        <f>SUM(B13:B15)</f>
        <v>112765000</v>
      </c>
      <c r="C16" s="19"/>
      <c r="D16" s="31"/>
      <c r="E16" s="31"/>
      <c r="F16" s="19"/>
      <c r="G16" s="47"/>
      <c r="H16" s="47"/>
      <c r="I16" s="1"/>
      <c r="J16" s="53" t="s">
        <v>90</v>
      </c>
      <c r="K16" s="53"/>
      <c r="L16" s="54">
        <f>SUM(L6:L15)</f>
        <v>21.7</v>
      </c>
      <c r="M16" s="1"/>
      <c r="N16" s="42" t="s">
        <v>91</v>
      </c>
      <c r="O16" s="23">
        <v>2.5463E8</v>
      </c>
      <c r="P16" s="1"/>
      <c r="Q16" s="42" t="s">
        <v>34</v>
      </c>
      <c r="R16" s="42" t="s">
        <v>44</v>
      </c>
      <c r="S16" s="28" t="s">
        <v>333</v>
      </c>
      <c r="T16" s="122">
        <v>33.33</v>
      </c>
      <c r="U16" s="62">
        <v>1.8333E9</v>
      </c>
      <c r="V16" s="28">
        <v>3.88E7</v>
      </c>
      <c r="W16" s="85">
        <v>98.3</v>
      </c>
      <c r="X16" s="1"/>
      <c r="Y16" s="9"/>
      <c r="Z16" s="9"/>
      <c r="AA16" s="9"/>
    </row>
    <row r="17">
      <c r="A17" s="17" t="s">
        <v>93</v>
      </c>
      <c r="B17" s="81">
        <v>-1.77213E8</v>
      </c>
      <c r="C17" s="19"/>
      <c r="D17" s="32"/>
      <c r="E17" s="18"/>
      <c r="F17" s="19"/>
      <c r="G17" s="47"/>
      <c r="H17" s="47"/>
      <c r="I17" s="1"/>
      <c r="J17" s="1"/>
      <c r="K17" s="1"/>
      <c r="L17" s="1"/>
      <c r="M17" s="9"/>
      <c r="N17" s="42" t="s">
        <v>94</v>
      </c>
      <c r="O17" s="55">
        <v>1.74731E8</v>
      </c>
      <c r="P17" s="1"/>
      <c r="Q17" s="42" t="s">
        <v>174</v>
      </c>
      <c r="R17" s="42" t="s">
        <v>65</v>
      </c>
      <c r="S17" s="28" t="s">
        <v>334</v>
      </c>
      <c r="T17" s="122">
        <v>50.0</v>
      </c>
      <c r="U17" s="62">
        <v>6.732E8</v>
      </c>
      <c r="V17" s="28">
        <v>2.86E7</v>
      </c>
      <c r="W17" s="85">
        <v>99.6</v>
      </c>
      <c r="X17" s="1"/>
      <c r="Y17" s="9"/>
      <c r="Z17" s="9"/>
      <c r="AA17" s="9"/>
    </row>
    <row r="18">
      <c r="A18" s="17" t="s">
        <v>96</v>
      </c>
      <c r="B18" s="56">
        <f>B9</f>
        <v>241646000</v>
      </c>
      <c r="C18" s="19"/>
      <c r="D18" s="47"/>
      <c r="E18" s="47"/>
      <c r="F18" s="19"/>
      <c r="G18" s="47"/>
      <c r="H18" s="47"/>
      <c r="I18" s="1"/>
      <c r="J18" s="14" t="s">
        <v>97</v>
      </c>
      <c r="K18" s="15"/>
      <c r="L18" s="16"/>
      <c r="M18" s="1"/>
      <c r="N18" s="42" t="s">
        <v>98</v>
      </c>
      <c r="O18" s="55">
        <v>-4.14262E8</v>
      </c>
      <c r="P18" s="1"/>
      <c r="Q18" s="42"/>
      <c r="R18" s="42"/>
      <c r="S18" s="28"/>
      <c r="T18" s="62"/>
      <c r="U18" s="62"/>
      <c r="V18" s="28"/>
      <c r="W18" s="85"/>
      <c r="X18" s="1"/>
      <c r="Y18" s="9"/>
      <c r="Z18" s="9"/>
      <c r="AA18" s="9"/>
    </row>
    <row r="19">
      <c r="A19" s="17" t="s">
        <v>100</v>
      </c>
      <c r="B19" s="81">
        <f>-262000-29994000</f>
        <v>-30256000</v>
      </c>
      <c r="C19" s="19"/>
      <c r="D19" s="47"/>
      <c r="E19" s="47"/>
      <c r="F19" s="19"/>
      <c r="G19" s="47"/>
      <c r="H19" s="47"/>
      <c r="I19" s="1"/>
      <c r="J19" s="45"/>
      <c r="K19" s="32"/>
      <c r="L19" s="129"/>
      <c r="M19" s="1"/>
      <c r="N19" s="42" t="s">
        <v>101</v>
      </c>
      <c r="O19" s="43">
        <f>sum(O16:O18)</f>
        <v>15099000</v>
      </c>
      <c r="P19" s="1"/>
      <c r="Q19" s="42"/>
      <c r="R19" s="42"/>
      <c r="S19" s="28"/>
      <c r="T19" s="62"/>
      <c r="U19" s="62"/>
      <c r="V19" s="28"/>
      <c r="W19" s="85"/>
      <c r="X19" s="1"/>
      <c r="Y19" s="9"/>
      <c r="Z19" s="9"/>
      <c r="AA19" s="9"/>
    </row>
    <row r="20">
      <c r="A20" s="17" t="s">
        <v>103</v>
      </c>
      <c r="B20" s="56">
        <f>B11-B17-B19</f>
        <v>345248000</v>
      </c>
      <c r="C20" s="30"/>
      <c r="D20" s="47"/>
      <c r="E20" s="47"/>
      <c r="F20" s="19"/>
      <c r="G20" s="47"/>
      <c r="H20" s="47"/>
      <c r="I20" s="1"/>
      <c r="J20" s="32"/>
      <c r="K20" s="44"/>
      <c r="L20" s="130"/>
      <c r="M20" s="1"/>
      <c r="N20" s="57"/>
      <c r="O20" s="9"/>
      <c r="P20" s="1"/>
      <c r="Q20" s="42"/>
      <c r="R20" s="42"/>
      <c r="S20" s="28"/>
      <c r="T20" s="62"/>
      <c r="U20" s="62"/>
      <c r="V20" s="62"/>
      <c r="W20" s="85"/>
      <c r="X20" s="1"/>
      <c r="Y20" s="9"/>
      <c r="Z20" s="9"/>
      <c r="AA20" s="9"/>
    </row>
    <row r="21">
      <c r="A21" s="42" t="s">
        <v>105</v>
      </c>
      <c r="B21" s="28">
        <v>1.4992E7</v>
      </c>
      <c r="C21" s="19"/>
      <c r="D21" s="47"/>
      <c r="E21" s="47"/>
      <c r="F21" s="19"/>
      <c r="G21" s="47"/>
      <c r="H21" s="47"/>
      <c r="I21" s="1"/>
      <c r="J21" s="45"/>
      <c r="K21" s="44"/>
      <c r="L21" s="129"/>
      <c r="M21" s="1"/>
      <c r="P21" s="1"/>
      <c r="Q21" s="42"/>
      <c r="R21" s="42"/>
      <c r="S21" s="28"/>
      <c r="T21" s="62"/>
      <c r="U21" s="62"/>
      <c r="V21" s="28"/>
      <c r="W21" s="85"/>
      <c r="X21" s="1"/>
      <c r="Y21" s="9"/>
      <c r="Z21" s="9"/>
      <c r="AA21" s="9"/>
    </row>
    <row r="22">
      <c r="A22" s="42" t="s">
        <v>107</v>
      </c>
      <c r="B22" s="56">
        <f>B13-B19-B21</f>
        <v>151418000</v>
      </c>
      <c r="C22" s="19"/>
      <c r="D22" s="47"/>
      <c r="E22" s="47"/>
      <c r="F22" s="19"/>
      <c r="G22" s="47"/>
      <c r="H22" s="47"/>
      <c r="I22" s="1"/>
      <c r="J22" s="45"/>
      <c r="K22" s="44"/>
      <c r="L22" s="129"/>
      <c r="M22" s="1"/>
      <c r="Q22" s="42"/>
      <c r="R22" s="42"/>
      <c r="S22" s="28"/>
      <c r="T22" s="62"/>
      <c r="U22" s="62"/>
      <c r="V22" s="28"/>
      <c r="W22" s="85"/>
      <c r="X22" s="1"/>
      <c r="Y22" s="9"/>
      <c r="Z22" s="9"/>
      <c r="AA22" s="9"/>
    </row>
    <row r="23">
      <c r="A23" s="9"/>
      <c r="B23" s="9"/>
      <c r="C23" s="19"/>
      <c r="D23" s="47"/>
      <c r="E23" s="47"/>
      <c r="F23" s="19"/>
      <c r="G23" s="47"/>
      <c r="H23" s="47"/>
      <c r="I23" s="1"/>
      <c r="J23" s="33"/>
      <c r="K23" s="44"/>
      <c r="L23" s="129"/>
      <c r="M23" s="1"/>
      <c r="Q23" s="42"/>
      <c r="R23" s="42"/>
      <c r="S23" s="28"/>
      <c r="T23" s="68"/>
      <c r="U23" s="68"/>
      <c r="V23" s="28"/>
      <c r="W23" s="85"/>
      <c r="X23" s="1"/>
      <c r="Y23" s="9"/>
      <c r="Z23" s="9"/>
      <c r="AA23" s="9"/>
    </row>
    <row r="24">
      <c r="A24" s="9"/>
      <c r="B24" s="9"/>
      <c r="C24" s="19"/>
      <c r="D24" s="47"/>
      <c r="E24" s="47"/>
      <c r="F24" s="19"/>
      <c r="G24" s="47"/>
      <c r="H24" s="47"/>
      <c r="I24" s="1"/>
      <c r="J24" s="32"/>
      <c r="K24" s="44"/>
      <c r="L24" s="130"/>
      <c r="M24" s="1"/>
      <c r="Q24" s="42"/>
      <c r="R24" s="42"/>
      <c r="S24" s="28"/>
      <c r="T24" s="68"/>
      <c r="U24" s="68"/>
      <c r="V24" s="28"/>
      <c r="W24" s="85"/>
      <c r="X24" s="1"/>
      <c r="Y24" s="9"/>
      <c r="Z24" s="9"/>
      <c r="AA24" s="9"/>
    </row>
    <row r="25">
      <c r="A25" s="9"/>
      <c r="B25" s="9"/>
      <c r="C25" s="19"/>
      <c r="D25" s="47"/>
      <c r="E25" s="47"/>
      <c r="F25" s="19"/>
      <c r="G25" s="47"/>
      <c r="H25" s="47"/>
      <c r="I25" s="1"/>
      <c r="J25" s="32"/>
      <c r="K25" s="44"/>
      <c r="L25" s="130"/>
      <c r="M25" s="1"/>
      <c r="Q25" s="42"/>
      <c r="R25" s="42"/>
      <c r="S25" s="28"/>
      <c r="T25" s="62"/>
      <c r="U25" s="62"/>
      <c r="V25" s="28"/>
      <c r="W25" s="85"/>
      <c r="X25" s="1"/>
      <c r="Y25" s="9"/>
      <c r="Z25" s="9"/>
      <c r="AA25" s="9"/>
    </row>
    <row r="26">
      <c r="A26" s="1"/>
      <c r="B26" s="57"/>
      <c r="C26" s="19"/>
      <c r="D26" s="47"/>
      <c r="E26" s="47"/>
      <c r="F26" s="19"/>
      <c r="G26" s="47"/>
      <c r="H26" s="47"/>
      <c r="I26" s="1"/>
      <c r="J26" s="32"/>
      <c r="K26" s="44"/>
      <c r="L26" s="130"/>
      <c r="M26" s="1"/>
      <c r="N26" s="9"/>
      <c r="O26" s="9"/>
      <c r="X26" s="1"/>
      <c r="Y26" s="9"/>
      <c r="Z26" s="9"/>
      <c r="AA26" s="9"/>
    </row>
    <row r="27">
      <c r="A27" s="1"/>
      <c r="B27" s="57"/>
      <c r="C27" s="19"/>
      <c r="D27" s="47"/>
      <c r="E27" s="47"/>
      <c r="F27" s="19"/>
      <c r="G27" s="47"/>
      <c r="H27" s="47"/>
      <c r="I27" s="1"/>
      <c r="J27" s="32"/>
      <c r="K27" s="44"/>
      <c r="L27" s="130"/>
      <c r="M27" s="1"/>
      <c r="N27" s="9"/>
      <c r="O27" s="9"/>
      <c r="P27" s="1"/>
      <c r="Q27" s="58" t="s">
        <v>114</v>
      </c>
      <c r="R27" s="15"/>
      <c r="S27" s="15"/>
      <c r="T27" s="15"/>
      <c r="U27" s="15"/>
      <c r="V27" s="15"/>
      <c r="W27" s="16"/>
      <c r="X27" s="1"/>
      <c r="Y27" s="9"/>
      <c r="Z27" s="9"/>
      <c r="AA27" s="9"/>
    </row>
    <row r="28">
      <c r="A28" s="1"/>
      <c r="B28" s="57"/>
      <c r="C28" s="19"/>
      <c r="D28" s="47"/>
      <c r="E28" s="47"/>
      <c r="F28" s="19"/>
      <c r="G28" s="47"/>
      <c r="H28" s="47"/>
      <c r="I28" s="1"/>
      <c r="J28" s="32"/>
      <c r="K28" s="44"/>
      <c r="L28" s="130"/>
      <c r="M28" s="57"/>
      <c r="N28" s="9"/>
      <c r="O28" s="9"/>
      <c r="P28" s="57"/>
      <c r="Q28" s="59" t="s">
        <v>18</v>
      </c>
      <c r="R28" s="59" t="s">
        <v>19</v>
      </c>
      <c r="S28" s="59"/>
      <c r="T28" s="60" t="s">
        <v>115</v>
      </c>
      <c r="U28" s="60" t="s">
        <v>22</v>
      </c>
      <c r="V28" s="59" t="s">
        <v>23</v>
      </c>
      <c r="W28" s="61" t="s">
        <v>24</v>
      </c>
      <c r="X28" s="1"/>
      <c r="Y28" s="9"/>
      <c r="Z28" s="9"/>
      <c r="AA28" s="9"/>
    </row>
    <row r="29">
      <c r="A29" s="1"/>
      <c r="B29" s="1"/>
      <c r="C29" s="19"/>
      <c r="D29" s="47"/>
      <c r="E29" s="47"/>
      <c r="F29" s="19"/>
      <c r="G29" s="47"/>
      <c r="H29" s="47"/>
      <c r="I29" s="1"/>
      <c r="J29" s="53" t="s">
        <v>90</v>
      </c>
      <c r="K29" s="53"/>
      <c r="L29" s="131">
        <f>SUM(L19:L28)</f>
        <v>0</v>
      </c>
      <c r="M29" s="57"/>
      <c r="N29" s="9"/>
      <c r="O29" s="9"/>
      <c r="P29" s="57"/>
      <c r="Q29" s="42" t="s">
        <v>34</v>
      </c>
      <c r="R29" s="42" t="s">
        <v>65</v>
      </c>
      <c r="S29" s="28"/>
      <c r="T29" s="62">
        <v>2.0</v>
      </c>
      <c r="U29" s="62">
        <v>2.6780621E9</v>
      </c>
      <c r="V29" s="28">
        <v>2.04587E8</v>
      </c>
      <c r="W29" s="85">
        <v>98.5</v>
      </c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4">
        <f>SUM(E6:E29)</f>
        <v>463556000</v>
      </c>
      <c r="F30" s="19"/>
      <c r="G30" s="19" t="s">
        <v>90</v>
      </c>
      <c r="H30" s="64">
        <f>SUM(H6:H29)</f>
        <v>-69113000</v>
      </c>
      <c r="I30" s="1"/>
      <c r="J30" s="1"/>
      <c r="K30" s="1"/>
      <c r="L30" s="1"/>
      <c r="M30" s="57"/>
      <c r="N30" s="9"/>
      <c r="O30" s="9"/>
      <c r="P30" s="57"/>
      <c r="Q30" s="42" t="s">
        <v>34</v>
      </c>
      <c r="R30" s="42" t="s">
        <v>44</v>
      </c>
      <c r="S30" s="28"/>
      <c r="T30" s="62">
        <v>3.0</v>
      </c>
      <c r="U30" s="114">
        <v>6.476174E9</v>
      </c>
      <c r="V30" s="114">
        <v>2.14931E8</v>
      </c>
      <c r="W30" s="117">
        <v>98.6</v>
      </c>
      <c r="X30" s="1"/>
      <c r="Y30" s="9"/>
      <c r="Z30" s="9"/>
      <c r="AA30" s="9"/>
    </row>
    <row r="31">
      <c r="A31" s="1"/>
      <c r="B31" s="1"/>
      <c r="C31" s="19"/>
      <c r="D31" s="65" t="s">
        <v>116</v>
      </c>
      <c r="E31" s="66" t="str">
        <f>IF(B5=E30, "True", "False")</f>
        <v>True</v>
      </c>
      <c r="F31" s="19"/>
      <c r="G31" s="65" t="s">
        <v>116</v>
      </c>
      <c r="H31" s="66" t="str">
        <f>IF(B8=H30, "True", "False")</f>
        <v>True</v>
      </c>
      <c r="I31" s="1"/>
      <c r="J31" s="1"/>
      <c r="K31" s="1"/>
      <c r="L31" s="1"/>
      <c r="M31" s="57"/>
      <c r="N31" s="9"/>
      <c r="O31" s="9"/>
      <c r="P31" s="57"/>
      <c r="Q31" s="42" t="s">
        <v>117</v>
      </c>
      <c r="R31" s="42" t="s">
        <v>65</v>
      </c>
      <c r="S31" s="28"/>
      <c r="T31" s="62">
        <v>3.0</v>
      </c>
      <c r="U31" s="62">
        <v>8.81978E8</v>
      </c>
      <c r="V31" s="28">
        <v>4.6069E7</v>
      </c>
      <c r="W31" s="85">
        <v>83.8</v>
      </c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7"/>
      <c r="N32" s="9"/>
      <c r="O32" s="9"/>
      <c r="P32" s="9"/>
      <c r="Q32" s="42" t="s">
        <v>117</v>
      </c>
      <c r="R32" s="42" t="s">
        <v>44</v>
      </c>
      <c r="S32" s="28"/>
      <c r="T32" s="62">
        <v>2.0</v>
      </c>
      <c r="U32" s="62">
        <v>5.71397E8</v>
      </c>
      <c r="V32" s="28">
        <v>4.5571E7</v>
      </c>
      <c r="W32" s="85">
        <v>100.0</v>
      </c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42" t="s">
        <v>174</v>
      </c>
      <c r="R33" s="42" t="s">
        <v>65</v>
      </c>
      <c r="S33" s="28"/>
      <c r="T33" s="62">
        <v>1.0</v>
      </c>
      <c r="U33" s="62">
        <v>6.732E8</v>
      </c>
      <c r="V33" s="28">
        <v>2.86E7</v>
      </c>
      <c r="W33" s="85">
        <v>99.6</v>
      </c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42" t="s">
        <v>174</v>
      </c>
      <c r="R34" s="42" t="s">
        <v>44</v>
      </c>
      <c r="S34" s="28"/>
      <c r="T34" s="62">
        <v>1.0</v>
      </c>
      <c r="U34" s="62">
        <v>4.5863E8</v>
      </c>
      <c r="V34" s="28">
        <v>2.3898E7</v>
      </c>
      <c r="W34" s="85">
        <v>90.8</v>
      </c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42"/>
      <c r="R35" s="42"/>
      <c r="S35" s="28"/>
      <c r="T35" s="62"/>
      <c r="U35" s="62"/>
      <c r="V35" s="28"/>
      <c r="W35" s="85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67"/>
      <c r="P36" s="9"/>
      <c r="Q36" s="42"/>
      <c r="R36" s="42"/>
      <c r="S36" s="28"/>
      <c r="T36" s="62"/>
      <c r="U36" s="86"/>
      <c r="V36" s="72"/>
      <c r="W36" s="87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 t="s">
        <v>119</v>
      </c>
      <c r="O37" s="42"/>
      <c r="P37" s="1"/>
      <c r="Q37" s="42"/>
      <c r="R37" s="42"/>
      <c r="S37" s="28"/>
      <c r="T37" s="62"/>
      <c r="U37" s="62"/>
      <c r="V37" s="28"/>
      <c r="W37" s="85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 t="s">
        <v>120</v>
      </c>
      <c r="O38" s="42"/>
      <c r="P38" s="1"/>
      <c r="Q38" s="42"/>
      <c r="R38" s="42"/>
      <c r="S38" s="28"/>
      <c r="T38" s="62"/>
      <c r="U38" s="62"/>
      <c r="V38" s="28"/>
      <c r="W38" s="85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 t="s">
        <v>121</v>
      </c>
      <c r="O39" s="42"/>
      <c r="P39" s="1"/>
      <c r="Q39" s="42"/>
      <c r="R39" s="42"/>
      <c r="S39" s="28"/>
      <c r="T39" s="62"/>
      <c r="U39" s="62"/>
      <c r="V39" s="28"/>
      <c r="W39" s="85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 t="s">
        <v>122</v>
      </c>
      <c r="O40" s="28">
        <f>11200000+1392000</f>
        <v>12592000</v>
      </c>
      <c r="P40" s="8"/>
      <c r="Q40" s="42"/>
      <c r="R40" s="42"/>
      <c r="S40" s="28"/>
      <c r="T40" s="68"/>
      <c r="U40" s="68"/>
      <c r="V40" s="28"/>
      <c r="W40" s="85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9" t="s">
        <v>90</v>
      </c>
      <c r="T41" s="70">
        <f t="shared" ref="T41:V41" si="1">sum(T29:T40)</f>
        <v>12</v>
      </c>
      <c r="U41" s="70">
        <f t="shared" si="1"/>
        <v>11739441100</v>
      </c>
      <c r="V41" s="70">
        <f t="shared" si="1"/>
        <v>563656000</v>
      </c>
      <c r="W41" s="4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"/>
      <c r="O42" s="8" t="s">
        <v>123</v>
      </c>
      <c r="P42" s="1"/>
      <c r="Q42" s="1"/>
      <c r="R42" s="1"/>
      <c r="S42" s="1"/>
      <c r="T42" s="121"/>
      <c r="U42" s="1"/>
      <c r="V42" s="1"/>
      <c r="W42" s="79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10" t="s">
        <v>124</v>
      </c>
      <c r="O43" s="72">
        <v>2.915714E9</v>
      </c>
      <c r="P43" s="1"/>
      <c r="Q43" s="1"/>
      <c r="R43" s="1"/>
      <c r="S43" s="1"/>
      <c r="T43" s="121"/>
      <c r="U43" s="1"/>
      <c r="V43" s="1"/>
      <c r="W43" s="79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12" t="s">
        <v>125</v>
      </c>
      <c r="O44" s="72">
        <v>2.928194E9</v>
      </c>
      <c r="P44" s="1"/>
      <c r="Q44" s="1"/>
      <c r="R44" s="1"/>
      <c r="S44" s="1"/>
      <c r="T44" s="132"/>
      <c r="U44" s="8"/>
      <c r="V44" s="1"/>
      <c r="W44" s="79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99" t="s">
        <v>126</v>
      </c>
      <c r="O45" s="75">
        <v>2.35076E8</v>
      </c>
      <c r="P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99" t="s">
        <v>127</v>
      </c>
      <c r="O46" s="75">
        <f>30007000+150916000</f>
        <v>180923000</v>
      </c>
      <c r="P46" s="1"/>
      <c r="Q46" s="1"/>
      <c r="R46" s="1"/>
      <c r="S46" s="1"/>
      <c r="T46" s="121"/>
      <c r="U46" s="1"/>
      <c r="V46" s="1"/>
      <c r="W46" s="79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9" t="s">
        <v>128</v>
      </c>
      <c r="O47" s="75">
        <v>1.89148E8</v>
      </c>
      <c r="P47" s="1"/>
      <c r="Q47" s="1"/>
      <c r="R47" s="1"/>
      <c r="S47" s="1"/>
      <c r="T47" s="121"/>
      <c r="U47" s="1"/>
      <c r="V47" s="1"/>
      <c r="W47" s="79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99" t="s">
        <v>129</v>
      </c>
      <c r="O48" s="75">
        <v>4.5928E7</v>
      </c>
      <c r="P48" s="1"/>
      <c r="Q48" s="1"/>
      <c r="R48" s="1"/>
      <c r="S48" s="1"/>
      <c r="T48" s="121"/>
      <c r="U48" s="1"/>
      <c r="V48" s="1"/>
      <c r="W48" s="79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130</v>
      </c>
      <c r="O49" s="83">
        <v>2.921418E9</v>
      </c>
      <c r="R49" s="1"/>
      <c r="S49" s="1"/>
      <c r="T49" s="121"/>
      <c r="U49" s="1"/>
      <c r="V49" s="1"/>
      <c r="W49" s="79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N50" s="77" t="s">
        <v>131</v>
      </c>
      <c r="O50" s="120">
        <v>1.2514E7</v>
      </c>
      <c r="R50" s="1"/>
      <c r="S50" s="1"/>
      <c r="T50" s="121"/>
      <c r="U50" s="1"/>
      <c r="V50" s="1"/>
      <c r="W50" s="79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R51" s="1"/>
      <c r="S51" s="1"/>
      <c r="T51" s="121"/>
      <c r="U51" s="1"/>
      <c r="V51" s="1"/>
      <c r="W51" s="79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R52" s="1"/>
      <c r="S52" s="1"/>
      <c r="T52" s="121"/>
      <c r="U52" s="1"/>
      <c r="V52" s="1"/>
      <c r="W52" s="79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R53" s="1"/>
      <c r="S53" s="1"/>
      <c r="T53" s="121"/>
      <c r="U53" s="1"/>
      <c r="V53" s="1"/>
      <c r="W53" s="79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R54" s="1"/>
      <c r="S54" s="1"/>
      <c r="T54" s="121"/>
      <c r="U54" s="1"/>
      <c r="V54" s="1"/>
      <c r="W54" s="79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R55" s="1"/>
      <c r="S55" s="1"/>
      <c r="T55" s="121"/>
      <c r="U55" s="1"/>
      <c r="V55" s="1"/>
      <c r="W55" s="79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R56" s="1"/>
      <c r="S56" s="1"/>
      <c r="T56" s="121"/>
      <c r="U56" s="1"/>
      <c r="V56" s="1"/>
      <c r="W56" s="79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R57" s="1"/>
      <c r="S57" s="1"/>
      <c r="T57" s="121"/>
      <c r="U57" s="1"/>
      <c r="V57" s="1"/>
      <c r="W57" s="79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R58" s="1"/>
      <c r="S58" s="1"/>
      <c r="T58" s="121"/>
      <c r="U58" s="1"/>
      <c r="V58" s="1"/>
      <c r="W58" s="79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R59" s="1"/>
      <c r="S59" s="1"/>
      <c r="T59" s="121"/>
      <c r="U59" s="1"/>
      <c r="V59" s="1"/>
      <c r="W59" s="79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R60" s="1"/>
      <c r="S60" s="1"/>
      <c r="T60" s="121"/>
      <c r="U60" s="1"/>
      <c r="V60" s="1"/>
      <c r="W60" s="79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R61" s="1"/>
      <c r="S61" s="1"/>
      <c r="T61" s="121"/>
      <c r="U61" s="1"/>
      <c r="V61" s="1"/>
      <c r="W61" s="79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R62" s="1"/>
      <c r="S62" s="1"/>
      <c r="T62" s="121"/>
      <c r="U62" s="1"/>
      <c r="V62" s="1"/>
      <c r="W62" s="79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R63" s="1"/>
      <c r="S63" s="1"/>
      <c r="T63" s="121"/>
      <c r="U63" s="1"/>
      <c r="V63" s="1"/>
      <c r="W63" s="79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R64" s="1"/>
      <c r="S64" s="1"/>
      <c r="T64" s="121"/>
      <c r="U64" s="1"/>
      <c r="V64" s="1"/>
      <c r="W64" s="79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R65" s="1"/>
      <c r="S65" s="1"/>
      <c r="T65" s="121"/>
      <c r="U65" s="1"/>
      <c r="V65" s="1"/>
      <c r="W65" s="79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R66" s="1"/>
      <c r="S66" s="1"/>
      <c r="T66" s="121"/>
      <c r="U66" s="1"/>
      <c r="V66" s="1"/>
      <c r="W66" s="79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R67" s="1"/>
      <c r="S67" s="1"/>
      <c r="T67" s="121"/>
      <c r="U67" s="1"/>
      <c r="V67" s="1"/>
      <c r="W67" s="79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R68" s="1"/>
      <c r="S68" s="1"/>
      <c r="T68" s="121"/>
      <c r="U68" s="1"/>
      <c r="V68" s="1"/>
      <c r="W68" s="79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R69" s="1"/>
      <c r="S69" s="1"/>
      <c r="T69" s="121"/>
      <c r="U69" s="1"/>
      <c r="V69" s="1"/>
      <c r="W69" s="79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R70" s="1"/>
      <c r="S70" s="1"/>
      <c r="T70" s="121"/>
      <c r="U70" s="1"/>
      <c r="V70" s="1"/>
      <c r="W70" s="79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R71" s="1"/>
      <c r="S71" s="1"/>
      <c r="T71" s="121"/>
      <c r="U71" s="1"/>
      <c r="V71" s="1"/>
      <c r="W71" s="79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R72" s="1"/>
      <c r="S72" s="1"/>
      <c r="T72" s="121"/>
      <c r="U72" s="1"/>
      <c r="V72" s="1"/>
      <c r="W72" s="79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R73" s="1"/>
      <c r="S73" s="1"/>
      <c r="T73" s="121"/>
      <c r="U73" s="1"/>
      <c r="V73" s="1"/>
      <c r="W73" s="79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R74" s="1"/>
      <c r="S74" s="1"/>
      <c r="T74" s="121"/>
      <c r="U74" s="1"/>
      <c r="V74" s="1"/>
      <c r="W74" s="79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R75" s="1"/>
      <c r="S75" s="1"/>
      <c r="T75" s="121"/>
      <c r="U75" s="1"/>
      <c r="V75" s="1"/>
      <c r="W75" s="79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R76" s="1"/>
      <c r="S76" s="1"/>
      <c r="T76" s="121"/>
      <c r="U76" s="1"/>
      <c r="V76" s="1"/>
      <c r="W76" s="79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R77" s="1"/>
      <c r="S77" s="1"/>
      <c r="T77" s="121"/>
      <c r="U77" s="1"/>
      <c r="V77" s="1"/>
      <c r="W77" s="79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R78" s="1"/>
      <c r="S78" s="1"/>
      <c r="T78" s="121"/>
      <c r="U78" s="1"/>
      <c r="V78" s="1"/>
      <c r="W78" s="79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R79" s="1"/>
      <c r="S79" s="1"/>
      <c r="T79" s="121"/>
      <c r="U79" s="1"/>
      <c r="V79" s="1"/>
      <c r="W79" s="79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R80" s="1"/>
      <c r="S80" s="1"/>
      <c r="T80" s="121"/>
      <c r="U80" s="1"/>
      <c r="V80" s="1"/>
      <c r="W80" s="79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R81" s="1"/>
      <c r="S81" s="1"/>
      <c r="T81" s="121"/>
      <c r="U81" s="1"/>
      <c r="V81" s="1"/>
      <c r="W81" s="79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R82" s="1"/>
      <c r="S82" s="1"/>
      <c r="T82" s="121"/>
      <c r="U82" s="1"/>
      <c r="V82" s="1"/>
      <c r="W82" s="79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R83" s="1"/>
      <c r="S83" s="1"/>
      <c r="T83" s="121"/>
      <c r="U83" s="1"/>
      <c r="V83" s="1"/>
      <c r="W83" s="79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R84" s="1"/>
      <c r="S84" s="1"/>
      <c r="T84" s="121"/>
      <c r="U84" s="1"/>
      <c r="V84" s="1"/>
      <c r="W84" s="79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R85" s="1"/>
      <c r="S85" s="1"/>
      <c r="T85" s="121"/>
      <c r="U85" s="1"/>
      <c r="V85" s="1"/>
      <c r="W85" s="79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R86" s="1"/>
      <c r="S86" s="1"/>
      <c r="T86" s="121"/>
      <c r="U86" s="1"/>
      <c r="V86" s="1"/>
      <c r="W86" s="79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R87" s="1"/>
      <c r="S87" s="1"/>
      <c r="T87" s="121"/>
      <c r="U87" s="1"/>
      <c r="V87" s="1"/>
      <c r="W87" s="79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21"/>
      <c r="U88" s="1"/>
      <c r="V88" s="1"/>
      <c r="W88" s="79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21"/>
      <c r="U89" s="1"/>
      <c r="V89" s="1"/>
      <c r="W89" s="79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21"/>
      <c r="U90" s="1"/>
      <c r="V90" s="1"/>
      <c r="W90" s="79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21"/>
      <c r="U91" s="1"/>
      <c r="V91" s="1"/>
      <c r="W91" s="79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21"/>
      <c r="U92" s="1"/>
      <c r="V92" s="1"/>
      <c r="W92" s="79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21"/>
      <c r="U93" s="1"/>
      <c r="V93" s="1"/>
      <c r="W93" s="79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21"/>
      <c r="U94" s="1"/>
      <c r="V94" s="1"/>
      <c r="W94" s="79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21"/>
      <c r="U95" s="1"/>
      <c r="V95" s="1"/>
      <c r="W95" s="79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21"/>
      <c r="U96" s="1"/>
      <c r="V96" s="1"/>
      <c r="W96" s="79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21"/>
      <c r="U97" s="1"/>
      <c r="V97" s="1"/>
      <c r="W97" s="79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21"/>
      <c r="U98" s="1"/>
      <c r="V98" s="1"/>
      <c r="W98" s="79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21"/>
      <c r="U99" s="1"/>
      <c r="V99" s="1"/>
      <c r="W99" s="79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21"/>
      <c r="U100" s="1"/>
      <c r="V100" s="1"/>
      <c r="W100" s="79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21"/>
      <c r="U101" s="1"/>
      <c r="V101" s="1"/>
      <c r="W101" s="79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21"/>
      <c r="U102" s="1"/>
      <c r="V102" s="1"/>
      <c r="W102" s="79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21"/>
      <c r="U103" s="1"/>
      <c r="V103" s="1"/>
      <c r="W103" s="79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21"/>
      <c r="U104" s="1"/>
      <c r="V104" s="1"/>
      <c r="W104" s="79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21"/>
      <c r="U105" s="1"/>
      <c r="V105" s="1"/>
      <c r="W105" s="79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21"/>
      <c r="U106" s="1"/>
      <c r="V106" s="1"/>
      <c r="W106" s="79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21"/>
      <c r="U107" s="1"/>
      <c r="V107" s="1"/>
      <c r="W107" s="79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21"/>
      <c r="U108" s="1"/>
      <c r="V108" s="1"/>
      <c r="W108" s="79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21"/>
      <c r="U109" s="1"/>
      <c r="V109" s="1"/>
      <c r="W109" s="79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21"/>
      <c r="U110" s="1"/>
      <c r="V110" s="1"/>
      <c r="W110" s="79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21"/>
      <c r="U111" s="1"/>
      <c r="V111" s="1"/>
      <c r="W111" s="79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21"/>
      <c r="U112" s="1"/>
      <c r="V112" s="1"/>
      <c r="W112" s="79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21"/>
      <c r="U113" s="1"/>
      <c r="V113" s="1"/>
      <c r="W113" s="79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21"/>
      <c r="U114" s="1"/>
      <c r="V114" s="1"/>
      <c r="W114" s="79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21"/>
      <c r="U115" s="1"/>
      <c r="V115" s="1"/>
      <c r="W115" s="79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21"/>
      <c r="U116" s="1"/>
      <c r="V116" s="1"/>
      <c r="W116" s="79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21"/>
      <c r="U117" s="1"/>
      <c r="V117" s="1"/>
      <c r="W117" s="79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21"/>
      <c r="U118" s="1"/>
      <c r="V118" s="1"/>
      <c r="W118" s="79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21"/>
      <c r="U119" s="1"/>
      <c r="V119" s="1"/>
      <c r="W119" s="79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21"/>
      <c r="U120" s="1"/>
      <c r="V120" s="1"/>
      <c r="W120" s="79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21"/>
      <c r="U121" s="1"/>
      <c r="V121" s="1"/>
      <c r="W121" s="79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21"/>
      <c r="U122" s="1"/>
      <c r="V122" s="1"/>
      <c r="W122" s="79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21"/>
      <c r="U123" s="1"/>
      <c r="V123" s="1"/>
      <c r="W123" s="79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21"/>
      <c r="U124" s="1"/>
      <c r="V124" s="1"/>
      <c r="W124" s="79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21"/>
      <c r="U125" s="1"/>
      <c r="V125" s="1"/>
      <c r="W125" s="79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21"/>
      <c r="U126" s="1"/>
      <c r="V126" s="1"/>
      <c r="W126" s="79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21"/>
      <c r="U127" s="1"/>
      <c r="V127" s="1"/>
      <c r="W127" s="79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21"/>
      <c r="U128" s="1"/>
      <c r="V128" s="1"/>
      <c r="W128" s="79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21"/>
      <c r="U129" s="1"/>
      <c r="V129" s="1"/>
      <c r="W129" s="79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21"/>
      <c r="U130" s="1"/>
      <c r="V130" s="1"/>
      <c r="W130" s="79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21"/>
      <c r="U131" s="1"/>
      <c r="V131" s="1"/>
      <c r="W131" s="79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21"/>
      <c r="U132" s="1"/>
      <c r="V132" s="1"/>
      <c r="W132" s="79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21"/>
      <c r="U133" s="1"/>
      <c r="V133" s="1"/>
      <c r="W133" s="79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21"/>
      <c r="U134" s="1"/>
      <c r="V134" s="1"/>
      <c r="W134" s="79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21"/>
      <c r="U135" s="1"/>
      <c r="V135" s="1"/>
      <c r="W135" s="79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21"/>
      <c r="U136" s="1"/>
      <c r="V136" s="1"/>
      <c r="W136" s="79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21"/>
      <c r="U137" s="1"/>
      <c r="V137" s="1"/>
      <c r="W137" s="79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21"/>
      <c r="U138" s="1"/>
      <c r="V138" s="1"/>
      <c r="W138" s="79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21"/>
      <c r="U139" s="1"/>
      <c r="V139" s="1"/>
      <c r="W139" s="79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21"/>
      <c r="U140" s="1"/>
      <c r="V140" s="1"/>
      <c r="W140" s="79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21"/>
      <c r="U141" s="1"/>
      <c r="V141" s="1"/>
      <c r="W141" s="79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21"/>
      <c r="U142" s="1"/>
      <c r="V142" s="1"/>
      <c r="W142" s="79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21"/>
      <c r="U143" s="1"/>
      <c r="V143" s="1"/>
      <c r="W143" s="79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21"/>
      <c r="U144" s="1"/>
      <c r="V144" s="1"/>
      <c r="W144" s="79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21"/>
      <c r="U145" s="1"/>
      <c r="V145" s="1"/>
      <c r="W145" s="79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21"/>
      <c r="U146" s="1"/>
      <c r="V146" s="1"/>
      <c r="W146" s="79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21"/>
      <c r="U147" s="1"/>
      <c r="V147" s="1"/>
      <c r="W147" s="79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21"/>
      <c r="U148" s="1"/>
      <c r="V148" s="1"/>
      <c r="W148" s="79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21"/>
      <c r="U149" s="1"/>
      <c r="V149" s="1"/>
      <c r="W149" s="79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21"/>
      <c r="U150" s="1"/>
      <c r="V150" s="1"/>
      <c r="W150" s="79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21"/>
      <c r="U151" s="1"/>
      <c r="V151" s="1"/>
      <c r="W151" s="79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21"/>
      <c r="U152" s="1"/>
      <c r="V152" s="1"/>
      <c r="W152" s="79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21"/>
      <c r="U153" s="1"/>
      <c r="V153" s="1"/>
      <c r="W153" s="79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21"/>
      <c r="U154" s="1"/>
      <c r="V154" s="1"/>
      <c r="W154" s="79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21"/>
      <c r="U155" s="1"/>
      <c r="V155" s="1"/>
      <c r="W155" s="79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21"/>
      <c r="U156" s="1"/>
      <c r="V156" s="1"/>
      <c r="W156" s="79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21"/>
      <c r="U157" s="1"/>
      <c r="V157" s="1"/>
      <c r="W157" s="79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21"/>
      <c r="U158" s="1"/>
      <c r="V158" s="1"/>
      <c r="W158" s="79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21"/>
      <c r="U159" s="1"/>
      <c r="V159" s="1"/>
      <c r="W159" s="79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21"/>
      <c r="U160" s="1"/>
      <c r="V160" s="1"/>
      <c r="W160" s="79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21"/>
      <c r="U161" s="1"/>
      <c r="V161" s="1"/>
      <c r="W161" s="79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21"/>
      <c r="U162" s="1"/>
      <c r="V162" s="1"/>
      <c r="W162" s="79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21"/>
      <c r="U163" s="1"/>
      <c r="V163" s="1"/>
      <c r="W163" s="79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21"/>
      <c r="U164" s="1"/>
      <c r="V164" s="1"/>
      <c r="W164" s="79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21"/>
      <c r="U165" s="1"/>
      <c r="V165" s="1"/>
      <c r="W165" s="79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21"/>
      <c r="U166" s="1"/>
      <c r="V166" s="1"/>
      <c r="W166" s="79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21"/>
      <c r="U167" s="1"/>
      <c r="V167" s="1"/>
      <c r="W167" s="79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21"/>
      <c r="U168" s="1"/>
      <c r="V168" s="1"/>
      <c r="W168" s="79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21"/>
      <c r="U169" s="1"/>
      <c r="V169" s="1"/>
      <c r="W169" s="79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21"/>
      <c r="U170" s="1"/>
      <c r="V170" s="1"/>
      <c r="W170" s="79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21"/>
      <c r="U171" s="1"/>
      <c r="V171" s="1"/>
      <c r="W171" s="79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21"/>
      <c r="U172" s="1"/>
      <c r="V172" s="1"/>
      <c r="W172" s="79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21"/>
      <c r="U173" s="1"/>
      <c r="V173" s="1"/>
      <c r="W173" s="79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21"/>
      <c r="U174" s="1"/>
      <c r="V174" s="1"/>
      <c r="W174" s="79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21"/>
      <c r="U175" s="1"/>
      <c r="V175" s="1"/>
      <c r="W175" s="79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21"/>
      <c r="U176" s="1"/>
      <c r="V176" s="1"/>
      <c r="W176" s="79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21"/>
      <c r="U177" s="1"/>
      <c r="V177" s="1"/>
      <c r="W177" s="79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21"/>
      <c r="U178" s="1"/>
      <c r="V178" s="1"/>
      <c r="W178" s="79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21"/>
      <c r="U179" s="1"/>
      <c r="V179" s="1"/>
      <c r="W179" s="79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21"/>
      <c r="U180" s="1"/>
      <c r="V180" s="1"/>
      <c r="W180" s="79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21"/>
      <c r="U181" s="1"/>
      <c r="V181" s="1"/>
      <c r="W181" s="79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21"/>
      <c r="U182" s="1"/>
      <c r="V182" s="1"/>
      <c r="W182" s="79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21"/>
      <c r="U183" s="1"/>
      <c r="V183" s="1"/>
      <c r="W183" s="79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21"/>
      <c r="U184" s="1"/>
      <c r="V184" s="1"/>
      <c r="W184" s="79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21"/>
      <c r="U185" s="1"/>
      <c r="V185" s="1"/>
      <c r="W185" s="79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21"/>
      <c r="U186" s="1"/>
      <c r="V186" s="1"/>
      <c r="W186" s="79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21"/>
      <c r="U187" s="1"/>
      <c r="V187" s="1"/>
      <c r="W187" s="79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21"/>
      <c r="U188" s="1"/>
      <c r="V188" s="1"/>
      <c r="W188" s="79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21"/>
      <c r="U189" s="1"/>
      <c r="V189" s="1"/>
      <c r="W189" s="79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21"/>
      <c r="U190" s="1"/>
      <c r="V190" s="1"/>
      <c r="W190" s="79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21"/>
      <c r="U191" s="1"/>
      <c r="V191" s="1"/>
      <c r="W191" s="79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21"/>
      <c r="U192" s="1"/>
      <c r="V192" s="1"/>
      <c r="W192" s="79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21"/>
      <c r="U193" s="1"/>
      <c r="V193" s="1"/>
      <c r="W193" s="79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21"/>
      <c r="U194" s="1"/>
      <c r="V194" s="1"/>
      <c r="W194" s="79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21"/>
      <c r="U195" s="1"/>
      <c r="V195" s="1"/>
      <c r="W195" s="79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21"/>
      <c r="U196" s="1"/>
      <c r="V196" s="1"/>
      <c r="W196" s="79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21"/>
      <c r="U197" s="1"/>
      <c r="V197" s="1"/>
      <c r="W197" s="79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21"/>
      <c r="U198" s="1"/>
      <c r="V198" s="1"/>
      <c r="W198" s="79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21"/>
      <c r="U199" s="1"/>
      <c r="V199" s="1"/>
      <c r="W199" s="79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21"/>
      <c r="U200" s="1"/>
      <c r="V200" s="1"/>
      <c r="W200" s="79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21"/>
      <c r="U201" s="1"/>
      <c r="V201" s="1"/>
      <c r="W201" s="79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21"/>
      <c r="U202" s="1"/>
      <c r="V202" s="1"/>
      <c r="W202" s="79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21"/>
      <c r="U203" s="1"/>
      <c r="V203" s="1"/>
      <c r="W203" s="79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21"/>
      <c r="U204" s="1"/>
      <c r="V204" s="1"/>
      <c r="W204" s="79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21"/>
      <c r="U205" s="1"/>
      <c r="V205" s="1"/>
      <c r="W205" s="79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21"/>
      <c r="U206" s="1"/>
      <c r="V206" s="1"/>
      <c r="W206" s="79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21"/>
      <c r="U207" s="1"/>
      <c r="V207" s="1"/>
      <c r="W207" s="79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21"/>
      <c r="U208" s="1"/>
      <c r="V208" s="1"/>
      <c r="W208" s="79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21"/>
      <c r="U209" s="1"/>
      <c r="V209" s="1"/>
      <c r="W209" s="79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21"/>
      <c r="U210" s="1"/>
      <c r="V210" s="1"/>
      <c r="W210" s="79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21"/>
      <c r="U211" s="1"/>
      <c r="V211" s="1"/>
      <c r="W211" s="79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21"/>
      <c r="U212" s="1"/>
      <c r="V212" s="1"/>
      <c r="W212" s="79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21"/>
      <c r="U213" s="1"/>
      <c r="V213" s="1"/>
      <c r="W213" s="79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21"/>
      <c r="U214" s="1"/>
      <c r="V214" s="1"/>
      <c r="W214" s="79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21"/>
      <c r="U215" s="1"/>
      <c r="V215" s="1"/>
      <c r="W215" s="79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21"/>
      <c r="U216" s="1"/>
      <c r="V216" s="1"/>
      <c r="W216" s="79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21"/>
      <c r="U217" s="1"/>
      <c r="V217" s="1"/>
      <c r="W217" s="79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21"/>
      <c r="U218" s="1"/>
      <c r="V218" s="1"/>
      <c r="W218" s="79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21"/>
      <c r="U219" s="1"/>
      <c r="V219" s="1"/>
      <c r="W219" s="79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21"/>
      <c r="U220" s="1"/>
      <c r="V220" s="1"/>
      <c r="W220" s="79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21"/>
      <c r="U221" s="1"/>
      <c r="V221" s="1"/>
      <c r="W221" s="79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21"/>
      <c r="U222" s="1"/>
      <c r="V222" s="1"/>
      <c r="W222" s="79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21"/>
      <c r="U223" s="1"/>
      <c r="V223" s="1"/>
      <c r="W223" s="79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21"/>
      <c r="U224" s="1"/>
      <c r="V224" s="1"/>
      <c r="W224" s="79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21"/>
      <c r="U225" s="1"/>
      <c r="V225" s="1"/>
      <c r="W225" s="79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21"/>
      <c r="U226" s="1"/>
      <c r="V226" s="1"/>
      <c r="W226" s="79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21"/>
      <c r="U227" s="1"/>
      <c r="V227" s="1"/>
      <c r="W227" s="79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21"/>
      <c r="U228" s="1"/>
      <c r="V228" s="1"/>
      <c r="W228" s="79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21"/>
      <c r="U229" s="1"/>
      <c r="V229" s="1"/>
      <c r="W229" s="79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21"/>
      <c r="U230" s="1"/>
      <c r="V230" s="1"/>
      <c r="W230" s="79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21"/>
      <c r="U231" s="1"/>
      <c r="V231" s="1"/>
      <c r="W231" s="79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21"/>
      <c r="U232" s="1"/>
      <c r="V232" s="1"/>
      <c r="W232" s="79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21"/>
      <c r="U233" s="1"/>
      <c r="V233" s="1"/>
      <c r="W233" s="79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21"/>
      <c r="U234" s="1"/>
      <c r="V234" s="1"/>
      <c r="W234" s="79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21"/>
      <c r="U235" s="1"/>
      <c r="V235" s="1"/>
      <c r="W235" s="79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21"/>
      <c r="U236" s="1"/>
      <c r="V236" s="1"/>
      <c r="W236" s="79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21"/>
      <c r="U237" s="1"/>
      <c r="V237" s="1"/>
      <c r="W237" s="79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21"/>
      <c r="U238" s="1"/>
      <c r="V238" s="1"/>
      <c r="W238" s="79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21"/>
      <c r="U239" s="1"/>
      <c r="V239" s="1"/>
      <c r="W239" s="79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21"/>
      <c r="U240" s="1"/>
      <c r="V240" s="1"/>
      <c r="W240" s="79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21"/>
      <c r="U241" s="1"/>
      <c r="V241" s="1"/>
      <c r="W241" s="79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21"/>
      <c r="U242" s="1"/>
      <c r="V242" s="1"/>
      <c r="W242" s="79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21"/>
      <c r="U243" s="1"/>
      <c r="V243" s="1"/>
      <c r="W243" s="79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21"/>
      <c r="U244" s="1"/>
      <c r="V244" s="1"/>
      <c r="W244" s="79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21"/>
      <c r="U245" s="1"/>
      <c r="V245" s="1"/>
      <c r="W245" s="79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21"/>
      <c r="U246" s="1"/>
      <c r="V246" s="1"/>
      <c r="W246" s="79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21"/>
      <c r="U247" s="1"/>
      <c r="V247" s="1"/>
      <c r="W247" s="79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21"/>
      <c r="U248" s="1"/>
      <c r="V248" s="1"/>
      <c r="W248" s="79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21"/>
      <c r="U249" s="1"/>
      <c r="V249" s="1"/>
      <c r="W249" s="79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21"/>
      <c r="U250" s="1"/>
      <c r="V250" s="1"/>
      <c r="W250" s="79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21"/>
      <c r="U251" s="1"/>
      <c r="V251" s="1"/>
      <c r="W251" s="79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21"/>
      <c r="U252" s="1"/>
      <c r="V252" s="1"/>
      <c r="W252" s="79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21"/>
      <c r="U253" s="1"/>
      <c r="V253" s="1"/>
      <c r="W253" s="79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21"/>
      <c r="U254" s="1"/>
      <c r="V254" s="1"/>
      <c r="W254" s="79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21"/>
      <c r="U255" s="1"/>
      <c r="V255" s="1"/>
      <c r="W255" s="79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21"/>
      <c r="U256" s="1"/>
      <c r="V256" s="1"/>
      <c r="W256" s="79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21"/>
      <c r="U257" s="1"/>
      <c r="V257" s="1"/>
      <c r="W257" s="79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21"/>
      <c r="U258" s="1"/>
      <c r="V258" s="1"/>
      <c r="W258" s="79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21"/>
      <c r="U259" s="1"/>
      <c r="V259" s="1"/>
      <c r="W259" s="79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21"/>
      <c r="U260" s="1"/>
      <c r="V260" s="1"/>
      <c r="W260" s="79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21"/>
      <c r="U261" s="1"/>
      <c r="V261" s="1"/>
      <c r="W261" s="79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21"/>
      <c r="U262" s="1"/>
      <c r="V262" s="1"/>
      <c r="W262" s="79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21"/>
      <c r="U263" s="1"/>
      <c r="V263" s="1"/>
      <c r="W263" s="79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21"/>
      <c r="U264" s="1"/>
      <c r="V264" s="1"/>
      <c r="W264" s="79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21"/>
      <c r="U265" s="1"/>
      <c r="V265" s="1"/>
      <c r="W265" s="79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21"/>
      <c r="U266" s="1"/>
      <c r="V266" s="1"/>
      <c r="W266" s="79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21"/>
      <c r="U267" s="1"/>
      <c r="V267" s="1"/>
      <c r="W267" s="79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21"/>
      <c r="U268" s="1"/>
      <c r="V268" s="1"/>
      <c r="W268" s="79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21"/>
      <c r="U269" s="1"/>
      <c r="V269" s="1"/>
      <c r="W269" s="79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21"/>
      <c r="U270" s="1"/>
      <c r="V270" s="1"/>
      <c r="W270" s="79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21"/>
      <c r="U271" s="1"/>
      <c r="V271" s="1"/>
      <c r="W271" s="79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21"/>
      <c r="U272" s="1"/>
      <c r="V272" s="1"/>
      <c r="W272" s="79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21"/>
      <c r="U273" s="1"/>
      <c r="V273" s="1"/>
      <c r="W273" s="79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21"/>
      <c r="U274" s="1"/>
      <c r="V274" s="1"/>
      <c r="W274" s="79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21"/>
      <c r="U275" s="1"/>
      <c r="V275" s="1"/>
      <c r="W275" s="79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21"/>
      <c r="U276" s="1"/>
      <c r="V276" s="1"/>
      <c r="W276" s="79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21"/>
      <c r="U277" s="1"/>
      <c r="V277" s="1"/>
      <c r="W277" s="79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21"/>
      <c r="U278" s="1"/>
      <c r="V278" s="1"/>
      <c r="W278" s="79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21"/>
      <c r="U279" s="1"/>
      <c r="V279" s="1"/>
      <c r="W279" s="79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21"/>
      <c r="U280" s="1"/>
      <c r="V280" s="1"/>
      <c r="W280" s="79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21"/>
      <c r="U281" s="1"/>
      <c r="V281" s="1"/>
      <c r="W281" s="79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21"/>
      <c r="U282" s="1"/>
      <c r="V282" s="1"/>
      <c r="W282" s="79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21"/>
      <c r="U283" s="1"/>
      <c r="V283" s="1"/>
      <c r="W283" s="79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21"/>
      <c r="U284" s="1"/>
      <c r="V284" s="1"/>
      <c r="W284" s="79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21"/>
      <c r="U285" s="1"/>
      <c r="V285" s="1"/>
      <c r="W285" s="79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21"/>
      <c r="U286" s="1"/>
      <c r="V286" s="1"/>
      <c r="W286" s="79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21"/>
      <c r="U287" s="1"/>
      <c r="V287" s="1"/>
      <c r="W287" s="79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21"/>
      <c r="U288" s="1"/>
      <c r="V288" s="1"/>
      <c r="W288" s="79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21"/>
      <c r="U289" s="1"/>
      <c r="V289" s="1"/>
      <c r="W289" s="79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21"/>
      <c r="U290" s="1"/>
      <c r="V290" s="1"/>
      <c r="W290" s="79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21"/>
      <c r="U291" s="1"/>
      <c r="V291" s="1"/>
      <c r="W291" s="79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21"/>
      <c r="U292" s="1"/>
      <c r="V292" s="1"/>
      <c r="W292" s="79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21"/>
      <c r="U293" s="1"/>
      <c r="V293" s="1"/>
      <c r="W293" s="79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21"/>
      <c r="U294" s="1"/>
      <c r="V294" s="1"/>
      <c r="W294" s="79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21"/>
      <c r="U295" s="1"/>
      <c r="V295" s="1"/>
      <c r="W295" s="79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21"/>
      <c r="U296" s="1"/>
      <c r="V296" s="1"/>
      <c r="W296" s="79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21"/>
      <c r="U297" s="1"/>
      <c r="V297" s="1"/>
      <c r="W297" s="79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21"/>
      <c r="U298" s="1"/>
      <c r="V298" s="1"/>
      <c r="W298" s="79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21"/>
      <c r="U299" s="1"/>
      <c r="V299" s="1"/>
      <c r="W299" s="79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21"/>
      <c r="U300" s="1"/>
      <c r="V300" s="1"/>
      <c r="W300" s="79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21"/>
      <c r="U301" s="1"/>
      <c r="V301" s="1"/>
      <c r="W301" s="79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21"/>
      <c r="U302" s="1"/>
      <c r="V302" s="1"/>
      <c r="W302" s="79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21"/>
      <c r="U303" s="1"/>
      <c r="V303" s="1"/>
      <c r="W303" s="79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21"/>
      <c r="U304" s="1"/>
      <c r="V304" s="1"/>
      <c r="W304" s="79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21"/>
      <c r="U305" s="1"/>
      <c r="V305" s="1"/>
      <c r="W305" s="79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21"/>
      <c r="U306" s="1"/>
      <c r="V306" s="1"/>
      <c r="W306" s="79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21"/>
      <c r="U307" s="1"/>
      <c r="V307" s="1"/>
      <c r="W307" s="79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21"/>
      <c r="U308" s="1"/>
      <c r="V308" s="1"/>
      <c r="W308" s="79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21"/>
      <c r="U309" s="1"/>
      <c r="V309" s="1"/>
      <c r="W309" s="79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21"/>
      <c r="U310" s="1"/>
      <c r="V310" s="1"/>
      <c r="W310" s="79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21"/>
      <c r="U311" s="1"/>
      <c r="V311" s="1"/>
      <c r="W311" s="79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21"/>
      <c r="U312" s="1"/>
      <c r="V312" s="1"/>
      <c r="W312" s="79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21"/>
      <c r="U313" s="1"/>
      <c r="V313" s="1"/>
      <c r="W313" s="79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21"/>
      <c r="U314" s="1"/>
      <c r="V314" s="1"/>
      <c r="W314" s="79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21"/>
      <c r="U315" s="1"/>
      <c r="V315" s="1"/>
      <c r="W315" s="79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21"/>
      <c r="U316" s="1"/>
      <c r="V316" s="1"/>
      <c r="W316" s="79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21"/>
      <c r="U317" s="1"/>
      <c r="V317" s="1"/>
      <c r="W317" s="79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21"/>
      <c r="U318" s="1"/>
      <c r="V318" s="1"/>
      <c r="W318" s="79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21"/>
      <c r="U319" s="1"/>
      <c r="V319" s="1"/>
      <c r="W319" s="79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21"/>
      <c r="U320" s="1"/>
      <c r="V320" s="1"/>
      <c r="W320" s="79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21"/>
      <c r="U321" s="1"/>
      <c r="V321" s="1"/>
      <c r="W321" s="79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21"/>
      <c r="U322" s="1"/>
      <c r="V322" s="1"/>
      <c r="W322" s="79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21"/>
      <c r="U323" s="1"/>
      <c r="V323" s="1"/>
      <c r="W323" s="79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21"/>
      <c r="U324" s="1"/>
      <c r="V324" s="1"/>
      <c r="W324" s="79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21"/>
      <c r="U325" s="1"/>
      <c r="V325" s="1"/>
      <c r="W325" s="79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21"/>
      <c r="U326" s="1"/>
      <c r="V326" s="1"/>
      <c r="W326" s="79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21"/>
      <c r="U327" s="1"/>
      <c r="V327" s="1"/>
      <c r="W327" s="79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21"/>
      <c r="U328" s="1"/>
      <c r="V328" s="1"/>
      <c r="W328" s="79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21"/>
      <c r="U329" s="1"/>
      <c r="V329" s="1"/>
      <c r="W329" s="79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21"/>
      <c r="U330" s="1"/>
      <c r="V330" s="1"/>
      <c r="W330" s="79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21"/>
      <c r="U331" s="1"/>
      <c r="V331" s="1"/>
      <c r="W331" s="79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21"/>
      <c r="U332" s="1"/>
      <c r="V332" s="1"/>
      <c r="W332" s="79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21"/>
      <c r="U333" s="1"/>
      <c r="V333" s="1"/>
      <c r="W333" s="79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21"/>
      <c r="U334" s="1"/>
      <c r="V334" s="1"/>
      <c r="W334" s="79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21"/>
      <c r="U335" s="1"/>
      <c r="V335" s="1"/>
      <c r="W335" s="79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21"/>
      <c r="U336" s="1"/>
      <c r="V336" s="1"/>
      <c r="W336" s="79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21"/>
      <c r="U337" s="1"/>
      <c r="V337" s="1"/>
      <c r="W337" s="79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21"/>
      <c r="U338" s="1"/>
      <c r="V338" s="1"/>
      <c r="W338" s="79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21"/>
      <c r="U339" s="1"/>
      <c r="V339" s="1"/>
      <c r="W339" s="79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21"/>
      <c r="U340" s="1"/>
      <c r="V340" s="1"/>
      <c r="W340" s="79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21"/>
      <c r="U341" s="1"/>
      <c r="V341" s="1"/>
      <c r="W341" s="79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21"/>
      <c r="U342" s="1"/>
      <c r="V342" s="1"/>
      <c r="W342" s="79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21"/>
      <c r="U343" s="1"/>
      <c r="V343" s="1"/>
      <c r="W343" s="79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21"/>
      <c r="U344" s="1"/>
      <c r="V344" s="1"/>
      <c r="W344" s="79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21"/>
      <c r="U345" s="1"/>
      <c r="V345" s="1"/>
      <c r="W345" s="79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21"/>
      <c r="U346" s="1"/>
      <c r="V346" s="1"/>
      <c r="W346" s="79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21"/>
      <c r="U347" s="1"/>
      <c r="V347" s="1"/>
      <c r="W347" s="79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21"/>
      <c r="U348" s="1"/>
      <c r="V348" s="1"/>
      <c r="W348" s="79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21"/>
      <c r="U349" s="1"/>
      <c r="V349" s="1"/>
      <c r="W349" s="79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21"/>
      <c r="U350" s="1"/>
      <c r="V350" s="1"/>
      <c r="W350" s="79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21"/>
      <c r="U351" s="1"/>
      <c r="V351" s="1"/>
      <c r="W351" s="79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21"/>
      <c r="U352" s="1"/>
      <c r="V352" s="1"/>
      <c r="W352" s="79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21"/>
      <c r="U353" s="1"/>
      <c r="V353" s="1"/>
      <c r="W353" s="79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21"/>
      <c r="U354" s="1"/>
      <c r="V354" s="1"/>
      <c r="W354" s="79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21"/>
      <c r="U355" s="1"/>
      <c r="V355" s="1"/>
      <c r="W355" s="79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21"/>
      <c r="U356" s="1"/>
      <c r="V356" s="1"/>
      <c r="W356" s="79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21"/>
      <c r="U357" s="1"/>
      <c r="V357" s="1"/>
      <c r="W357" s="79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21"/>
      <c r="U358" s="1"/>
      <c r="V358" s="1"/>
      <c r="W358" s="79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21"/>
      <c r="U359" s="1"/>
      <c r="V359" s="1"/>
      <c r="W359" s="79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21"/>
      <c r="U360" s="1"/>
      <c r="V360" s="1"/>
      <c r="W360" s="79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21"/>
      <c r="U361" s="1"/>
      <c r="V361" s="1"/>
      <c r="W361" s="79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21"/>
      <c r="U362" s="1"/>
      <c r="V362" s="1"/>
      <c r="W362" s="79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21"/>
      <c r="U363" s="1"/>
      <c r="V363" s="1"/>
      <c r="W363" s="79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21"/>
      <c r="U364" s="1"/>
      <c r="V364" s="1"/>
      <c r="W364" s="79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21"/>
      <c r="U365" s="1"/>
      <c r="V365" s="1"/>
      <c r="W365" s="79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21"/>
      <c r="U366" s="1"/>
      <c r="V366" s="1"/>
      <c r="W366" s="79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21"/>
      <c r="U367" s="1"/>
      <c r="V367" s="1"/>
      <c r="W367" s="79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21"/>
      <c r="U368" s="1"/>
      <c r="V368" s="1"/>
      <c r="W368" s="79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21"/>
      <c r="U369" s="1"/>
      <c r="V369" s="1"/>
      <c r="W369" s="79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21"/>
      <c r="U370" s="1"/>
      <c r="V370" s="1"/>
      <c r="W370" s="79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21"/>
      <c r="U371" s="1"/>
      <c r="V371" s="1"/>
      <c r="W371" s="79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21"/>
      <c r="U372" s="1"/>
      <c r="V372" s="1"/>
      <c r="W372" s="79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21"/>
      <c r="U373" s="1"/>
      <c r="V373" s="1"/>
      <c r="W373" s="79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21"/>
      <c r="U374" s="1"/>
      <c r="V374" s="1"/>
      <c r="W374" s="79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21"/>
      <c r="U375" s="1"/>
      <c r="V375" s="1"/>
      <c r="W375" s="79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21"/>
      <c r="U376" s="1"/>
      <c r="V376" s="1"/>
      <c r="W376" s="79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21"/>
      <c r="U377" s="1"/>
      <c r="V377" s="1"/>
      <c r="W377" s="79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21"/>
      <c r="U378" s="1"/>
      <c r="V378" s="1"/>
      <c r="W378" s="79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21"/>
      <c r="U379" s="1"/>
      <c r="V379" s="1"/>
      <c r="W379" s="79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21"/>
      <c r="U380" s="1"/>
      <c r="V380" s="1"/>
      <c r="W380" s="79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21"/>
      <c r="U381" s="1"/>
      <c r="V381" s="1"/>
      <c r="W381" s="79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21"/>
      <c r="U382" s="1"/>
      <c r="V382" s="1"/>
      <c r="W382" s="79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21"/>
      <c r="U383" s="1"/>
      <c r="V383" s="1"/>
      <c r="W383" s="79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21"/>
      <c r="U384" s="1"/>
      <c r="V384" s="1"/>
      <c r="W384" s="79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21"/>
      <c r="U385" s="1"/>
      <c r="V385" s="1"/>
      <c r="W385" s="79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21"/>
      <c r="U386" s="1"/>
      <c r="V386" s="1"/>
      <c r="W386" s="79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21"/>
      <c r="U387" s="1"/>
      <c r="V387" s="1"/>
      <c r="W387" s="79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21"/>
      <c r="U388" s="1"/>
      <c r="V388" s="1"/>
      <c r="W388" s="79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21"/>
      <c r="U389" s="1"/>
      <c r="V389" s="1"/>
      <c r="W389" s="79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21"/>
      <c r="U390" s="1"/>
      <c r="V390" s="1"/>
      <c r="W390" s="79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21"/>
      <c r="U391" s="1"/>
      <c r="V391" s="1"/>
      <c r="W391" s="79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21"/>
      <c r="U392" s="1"/>
      <c r="V392" s="1"/>
      <c r="W392" s="79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21"/>
      <c r="U393" s="1"/>
      <c r="V393" s="1"/>
      <c r="W393" s="79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21"/>
      <c r="U394" s="1"/>
      <c r="V394" s="1"/>
      <c r="W394" s="79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21"/>
      <c r="U395" s="1"/>
      <c r="V395" s="1"/>
      <c r="W395" s="79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21"/>
      <c r="U396" s="1"/>
      <c r="V396" s="1"/>
      <c r="W396" s="79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21"/>
      <c r="U397" s="1"/>
      <c r="V397" s="1"/>
      <c r="W397" s="79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21"/>
      <c r="U398" s="1"/>
      <c r="V398" s="1"/>
      <c r="W398" s="79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21"/>
      <c r="U399" s="1"/>
      <c r="V399" s="1"/>
      <c r="W399" s="79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21"/>
      <c r="U400" s="1"/>
      <c r="V400" s="1"/>
      <c r="W400" s="79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21"/>
      <c r="U401" s="1"/>
      <c r="V401" s="1"/>
      <c r="W401" s="79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21"/>
      <c r="U402" s="1"/>
      <c r="V402" s="1"/>
      <c r="W402" s="79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21"/>
      <c r="U403" s="1"/>
      <c r="V403" s="1"/>
      <c r="W403" s="79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21"/>
      <c r="U404" s="1"/>
      <c r="V404" s="1"/>
      <c r="W404" s="79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21"/>
      <c r="U405" s="1"/>
      <c r="V405" s="1"/>
      <c r="W405" s="79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21"/>
      <c r="U406" s="1"/>
      <c r="V406" s="1"/>
      <c r="W406" s="79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21"/>
      <c r="U407" s="1"/>
      <c r="V407" s="1"/>
      <c r="W407" s="79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21"/>
      <c r="U408" s="1"/>
      <c r="V408" s="1"/>
      <c r="W408" s="79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21"/>
      <c r="U409" s="1"/>
      <c r="V409" s="1"/>
      <c r="W409" s="79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21"/>
      <c r="U410" s="1"/>
      <c r="V410" s="1"/>
      <c r="W410" s="79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21"/>
      <c r="U411" s="1"/>
      <c r="V411" s="1"/>
      <c r="W411" s="79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21"/>
      <c r="U412" s="1"/>
      <c r="V412" s="1"/>
      <c r="W412" s="79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21"/>
      <c r="U413" s="1"/>
      <c r="V413" s="1"/>
      <c r="W413" s="79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21"/>
      <c r="U414" s="1"/>
      <c r="V414" s="1"/>
      <c r="W414" s="79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21"/>
      <c r="U415" s="1"/>
      <c r="V415" s="1"/>
      <c r="W415" s="79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21"/>
      <c r="U416" s="1"/>
      <c r="V416" s="1"/>
      <c r="W416" s="79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21"/>
      <c r="U417" s="1"/>
      <c r="V417" s="1"/>
      <c r="W417" s="79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21"/>
      <c r="U418" s="1"/>
      <c r="V418" s="1"/>
      <c r="W418" s="79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21"/>
      <c r="U419" s="1"/>
      <c r="V419" s="1"/>
      <c r="W419" s="79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21"/>
      <c r="U420" s="1"/>
      <c r="V420" s="1"/>
      <c r="W420" s="79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21"/>
      <c r="U421" s="1"/>
      <c r="V421" s="1"/>
      <c r="W421" s="79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21"/>
      <c r="U422" s="1"/>
      <c r="V422" s="1"/>
      <c r="W422" s="79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21"/>
      <c r="U423" s="1"/>
      <c r="V423" s="1"/>
      <c r="W423" s="79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21"/>
      <c r="U424" s="1"/>
      <c r="V424" s="1"/>
      <c r="W424" s="79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21"/>
      <c r="U425" s="1"/>
      <c r="V425" s="1"/>
      <c r="W425" s="79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21"/>
      <c r="U426" s="1"/>
      <c r="V426" s="1"/>
      <c r="W426" s="79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21"/>
      <c r="U427" s="1"/>
      <c r="V427" s="1"/>
      <c r="W427" s="79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21"/>
      <c r="U428" s="1"/>
      <c r="V428" s="1"/>
      <c r="W428" s="79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21"/>
      <c r="U429" s="1"/>
      <c r="V429" s="1"/>
      <c r="W429" s="79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21"/>
      <c r="U430" s="1"/>
      <c r="V430" s="1"/>
      <c r="W430" s="79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21"/>
      <c r="U431" s="1"/>
      <c r="V431" s="1"/>
      <c r="W431" s="79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21"/>
      <c r="U432" s="1"/>
      <c r="V432" s="1"/>
      <c r="W432" s="79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21"/>
      <c r="U433" s="1"/>
      <c r="V433" s="1"/>
      <c r="W433" s="79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21"/>
      <c r="U434" s="1"/>
      <c r="V434" s="1"/>
      <c r="W434" s="79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21"/>
      <c r="U435" s="1"/>
      <c r="V435" s="1"/>
      <c r="W435" s="79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21"/>
      <c r="U436" s="1"/>
      <c r="V436" s="1"/>
      <c r="W436" s="79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21"/>
      <c r="U437" s="1"/>
      <c r="V437" s="1"/>
      <c r="W437" s="79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21"/>
      <c r="U438" s="1"/>
      <c r="V438" s="1"/>
      <c r="W438" s="79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21"/>
      <c r="U439" s="1"/>
      <c r="V439" s="1"/>
      <c r="W439" s="79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21"/>
      <c r="U440" s="1"/>
      <c r="V440" s="1"/>
      <c r="W440" s="79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21"/>
      <c r="U441" s="1"/>
      <c r="V441" s="1"/>
      <c r="W441" s="79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21"/>
      <c r="U442" s="1"/>
      <c r="V442" s="1"/>
      <c r="W442" s="79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21"/>
      <c r="U443" s="1"/>
      <c r="V443" s="1"/>
      <c r="W443" s="79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21"/>
      <c r="U444" s="1"/>
      <c r="V444" s="1"/>
      <c r="W444" s="79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21"/>
      <c r="U445" s="1"/>
      <c r="V445" s="1"/>
      <c r="W445" s="79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21"/>
      <c r="U446" s="1"/>
      <c r="V446" s="1"/>
      <c r="W446" s="79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21"/>
      <c r="U447" s="1"/>
      <c r="V447" s="1"/>
      <c r="W447" s="79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21"/>
      <c r="U448" s="1"/>
      <c r="V448" s="1"/>
      <c r="W448" s="79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21"/>
      <c r="U449" s="1"/>
      <c r="V449" s="1"/>
      <c r="W449" s="79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21"/>
      <c r="U450" s="1"/>
      <c r="V450" s="1"/>
      <c r="W450" s="79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21"/>
      <c r="U451" s="1"/>
      <c r="V451" s="1"/>
      <c r="W451" s="79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21"/>
      <c r="U452" s="1"/>
      <c r="V452" s="1"/>
      <c r="W452" s="79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21"/>
      <c r="U453" s="1"/>
      <c r="V453" s="1"/>
      <c r="W453" s="79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21"/>
      <c r="U454" s="1"/>
      <c r="V454" s="1"/>
      <c r="W454" s="79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21"/>
      <c r="U455" s="1"/>
      <c r="V455" s="1"/>
      <c r="W455" s="79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21"/>
      <c r="U456" s="1"/>
      <c r="V456" s="1"/>
      <c r="W456" s="79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21"/>
      <c r="U457" s="1"/>
      <c r="V457" s="1"/>
      <c r="W457" s="79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21"/>
      <c r="U458" s="1"/>
      <c r="V458" s="1"/>
      <c r="W458" s="79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21"/>
      <c r="U459" s="1"/>
      <c r="V459" s="1"/>
      <c r="W459" s="79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21"/>
      <c r="U460" s="1"/>
      <c r="V460" s="1"/>
      <c r="W460" s="79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21"/>
      <c r="U461" s="1"/>
      <c r="V461" s="1"/>
      <c r="W461" s="79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21"/>
      <c r="U462" s="1"/>
      <c r="V462" s="1"/>
      <c r="W462" s="79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21"/>
      <c r="U463" s="1"/>
      <c r="V463" s="1"/>
      <c r="W463" s="79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21"/>
      <c r="U464" s="1"/>
      <c r="V464" s="1"/>
      <c r="W464" s="79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21"/>
      <c r="U465" s="1"/>
      <c r="V465" s="1"/>
      <c r="W465" s="79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21"/>
      <c r="U466" s="1"/>
      <c r="V466" s="1"/>
      <c r="W466" s="79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21"/>
      <c r="U467" s="1"/>
      <c r="V467" s="1"/>
      <c r="W467" s="79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21"/>
      <c r="U468" s="1"/>
      <c r="V468" s="1"/>
      <c r="W468" s="79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21"/>
      <c r="U469" s="1"/>
      <c r="V469" s="1"/>
      <c r="W469" s="79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21"/>
      <c r="U470" s="1"/>
      <c r="V470" s="1"/>
      <c r="W470" s="79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21"/>
      <c r="U471" s="1"/>
      <c r="V471" s="1"/>
      <c r="W471" s="79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21"/>
      <c r="U472" s="1"/>
      <c r="V472" s="1"/>
      <c r="W472" s="79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21"/>
      <c r="U473" s="1"/>
      <c r="V473" s="1"/>
      <c r="W473" s="79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21"/>
      <c r="U474" s="1"/>
      <c r="V474" s="1"/>
      <c r="W474" s="79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21"/>
      <c r="U475" s="1"/>
      <c r="V475" s="1"/>
      <c r="W475" s="79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21"/>
      <c r="U476" s="1"/>
      <c r="V476" s="1"/>
      <c r="W476" s="79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21"/>
      <c r="U477" s="1"/>
      <c r="V477" s="1"/>
      <c r="W477" s="79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21"/>
      <c r="U478" s="1"/>
      <c r="V478" s="1"/>
      <c r="W478" s="79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21"/>
      <c r="U479" s="1"/>
      <c r="V479" s="1"/>
      <c r="W479" s="79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21"/>
      <c r="U480" s="1"/>
      <c r="V480" s="1"/>
      <c r="W480" s="79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21"/>
      <c r="U481" s="1"/>
      <c r="V481" s="1"/>
      <c r="W481" s="79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21"/>
      <c r="U482" s="1"/>
      <c r="V482" s="1"/>
      <c r="W482" s="79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21"/>
      <c r="U483" s="1"/>
      <c r="V483" s="1"/>
      <c r="W483" s="79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21"/>
      <c r="U484" s="1"/>
      <c r="V484" s="1"/>
      <c r="W484" s="79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21"/>
      <c r="U485" s="1"/>
      <c r="V485" s="1"/>
      <c r="W485" s="79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21"/>
      <c r="U486" s="1"/>
      <c r="V486" s="1"/>
      <c r="W486" s="79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21"/>
      <c r="U487" s="1"/>
      <c r="V487" s="1"/>
      <c r="W487" s="79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21"/>
      <c r="U488" s="1"/>
      <c r="V488" s="1"/>
      <c r="W488" s="79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21"/>
      <c r="U489" s="1"/>
      <c r="V489" s="1"/>
      <c r="W489" s="79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21"/>
      <c r="U490" s="1"/>
      <c r="V490" s="1"/>
      <c r="W490" s="79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21"/>
      <c r="U491" s="1"/>
      <c r="V491" s="1"/>
      <c r="W491" s="79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21"/>
      <c r="U492" s="1"/>
      <c r="V492" s="1"/>
      <c r="W492" s="79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21"/>
      <c r="U493" s="1"/>
      <c r="V493" s="1"/>
      <c r="W493" s="79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21"/>
      <c r="U494" s="1"/>
      <c r="V494" s="1"/>
      <c r="W494" s="79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21"/>
      <c r="U495" s="1"/>
      <c r="V495" s="1"/>
      <c r="W495" s="79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21"/>
      <c r="U496" s="1"/>
      <c r="V496" s="1"/>
      <c r="W496" s="79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21"/>
      <c r="U497" s="1"/>
      <c r="V497" s="1"/>
      <c r="W497" s="79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21"/>
      <c r="U498" s="1"/>
      <c r="V498" s="1"/>
      <c r="W498" s="79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21"/>
      <c r="U499" s="1"/>
      <c r="V499" s="1"/>
      <c r="W499" s="79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21"/>
      <c r="U500" s="1"/>
      <c r="V500" s="1"/>
      <c r="W500" s="79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21"/>
      <c r="U501" s="1"/>
      <c r="V501" s="1"/>
      <c r="W501" s="79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21"/>
      <c r="U502" s="1"/>
      <c r="V502" s="1"/>
      <c r="W502" s="79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21"/>
      <c r="U503" s="1"/>
      <c r="V503" s="1"/>
      <c r="W503" s="79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21"/>
      <c r="U504" s="1"/>
      <c r="V504" s="1"/>
      <c r="W504" s="79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21"/>
      <c r="U505" s="1"/>
      <c r="V505" s="1"/>
      <c r="W505" s="79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21"/>
      <c r="U506" s="1"/>
      <c r="V506" s="1"/>
      <c r="W506" s="79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21"/>
      <c r="U507" s="1"/>
      <c r="V507" s="1"/>
      <c r="W507" s="79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21"/>
      <c r="U508" s="1"/>
      <c r="V508" s="1"/>
      <c r="W508" s="79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21"/>
      <c r="U509" s="1"/>
      <c r="V509" s="1"/>
      <c r="W509" s="79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21"/>
      <c r="U510" s="1"/>
      <c r="V510" s="1"/>
      <c r="W510" s="79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21"/>
      <c r="U511" s="1"/>
      <c r="V511" s="1"/>
      <c r="W511" s="79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21"/>
      <c r="U512" s="1"/>
      <c r="V512" s="1"/>
      <c r="W512" s="79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21"/>
      <c r="U513" s="1"/>
      <c r="V513" s="1"/>
      <c r="W513" s="79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21"/>
      <c r="U514" s="1"/>
      <c r="V514" s="1"/>
      <c r="W514" s="79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21"/>
      <c r="U515" s="1"/>
      <c r="V515" s="1"/>
      <c r="W515" s="79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21"/>
      <c r="U516" s="1"/>
      <c r="V516" s="1"/>
      <c r="W516" s="79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21"/>
      <c r="U517" s="1"/>
      <c r="V517" s="1"/>
      <c r="W517" s="79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21"/>
      <c r="U518" s="1"/>
      <c r="V518" s="1"/>
      <c r="W518" s="79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21"/>
      <c r="U519" s="1"/>
      <c r="V519" s="1"/>
      <c r="W519" s="79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21"/>
      <c r="U520" s="1"/>
      <c r="V520" s="1"/>
      <c r="W520" s="79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21"/>
      <c r="U521" s="1"/>
      <c r="V521" s="1"/>
      <c r="W521" s="79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21"/>
      <c r="U522" s="1"/>
      <c r="V522" s="1"/>
      <c r="W522" s="79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21"/>
      <c r="U523" s="1"/>
      <c r="V523" s="1"/>
      <c r="W523" s="79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21"/>
      <c r="U524" s="1"/>
      <c r="V524" s="1"/>
      <c r="W524" s="79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21"/>
      <c r="U525" s="1"/>
      <c r="V525" s="1"/>
      <c r="W525" s="79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21"/>
      <c r="U526" s="1"/>
      <c r="V526" s="1"/>
      <c r="W526" s="79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21"/>
      <c r="U527" s="1"/>
      <c r="V527" s="1"/>
      <c r="W527" s="79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21"/>
      <c r="U528" s="1"/>
      <c r="V528" s="1"/>
      <c r="W528" s="79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21"/>
      <c r="U529" s="1"/>
      <c r="V529" s="1"/>
      <c r="W529" s="79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21"/>
      <c r="U530" s="1"/>
      <c r="V530" s="1"/>
      <c r="W530" s="79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21"/>
      <c r="U531" s="1"/>
      <c r="V531" s="1"/>
      <c r="W531" s="79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21"/>
      <c r="U532" s="1"/>
      <c r="V532" s="1"/>
      <c r="W532" s="79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21"/>
      <c r="U533" s="1"/>
      <c r="V533" s="1"/>
      <c r="W533" s="79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21"/>
      <c r="U534" s="1"/>
      <c r="V534" s="1"/>
      <c r="W534" s="79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21"/>
      <c r="U535" s="1"/>
      <c r="V535" s="1"/>
      <c r="W535" s="79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21"/>
      <c r="U536" s="1"/>
      <c r="V536" s="1"/>
      <c r="W536" s="79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21"/>
      <c r="U537" s="1"/>
      <c r="V537" s="1"/>
      <c r="W537" s="79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21"/>
      <c r="U538" s="1"/>
      <c r="V538" s="1"/>
      <c r="W538" s="79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21"/>
      <c r="U539" s="1"/>
      <c r="V539" s="1"/>
      <c r="W539" s="79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21"/>
      <c r="U540" s="1"/>
      <c r="V540" s="1"/>
      <c r="W540" s="79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21"/>
      <c r="U541" s="1"/>
      <c r="V541" s="1"/>
      <c r="W541" s="79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21"/>
      <c r="U542" s="1"/>
      <c r="V542" s="1"/>
      <c r="W542" s="79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21"/>
      <c r="U543" s="1"/>
      <c r="V543" s="1"/>
      <c r="W543" s="79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21"/>
      <c r="U544" s="1"/>
      <c r="V544" s="1"/>
      <c r="W544" s="79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21"/>
      <c r="U545" s="1"/>
      <c r="V545" s="1"/>
      <c r="W545" s="79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21"/>
      <c r="U546" s="1"/>
      <c r="V546" s="1"/>
      <c r="W546" s="79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21"/>
      <c r="U547" s="1"/>
      <c r="V547" s="1"/>
      <c r="W547" s="79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21"/>
      <c r="U548" s="1"/>
      <c r="V548" s="1"/>
      <c r="W548" s="79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21"/>
      <c r="U549" s="1"/>
      <c r="V549" s="1"/>
      <c r="W549" s="79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21"/>
      <c r="U550" s="1"/>
      <c r="V550" s="1"/>
      <c r="W550" s="79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21"/>
      <c r="U551" s="1"/>
      <c r="V551" s="1"/>
      <c r="W551" s="79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21"/>
      <c r="U552" s="1"/>
      <c r="V552" s="1"/>
      <c r="W552" s="79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21"/>
      <c r="U553" s="1"/>
      <c r="V553" s="1"/>
      <c r="W553" s="79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21"/>
      <c r="U554" s="1"/>
      <c r="V554" s="1"/>
      <c r="W554" s="79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21"/>
      <c r="U555" s="1"/>
      <c r="V555" s="1"/>
      <c r="W555" s="79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21"/>
      <c r="U556" s="1"/>
      <c r="V556" s="1"/>
      <c r="W556" s="79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21"/>
      <c r="U557" s="1"/>
      <c r="V557" s="1"/>
      <c r="W557" s="79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21"/>
      <c r="U558" s="1"/>
      <c r="V558" s="1"/>
      <c r="W558" s="79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21"/>
      <c r="U559" s="1"/>
      <c r="V559" s="1"/>
      <c r="W559" s="79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21"/>
      <c r="U560" s="1"/>
      <c r="V560" s="1"/>
      <c r="W560" s="79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21"/>
      <c r="U561" s="1"/>
      <c r="V561" s="1"/>
      <c r="W561" s="79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21"/>
      <c r="U562" s="1"/>
      <c r="V562" s="1"/>
      <c r="W562" s="79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21"/>
      <c r="U563" s="1"/>
      <c r="V563" s="1"/>
      <c r="W563" s="79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21"/>
      <c r="U564" s="1"/>
      <c r="V564" s="1"/>
      <c r="W564" s="79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21"/>
      <c r="U565" s="1"/>
      <c r="V565" s="1"/>
      <c r="W565" s="79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21"/>
      <c r="U566" s="1"/>
      <c r="V566" s="1"/>
      <c r="W566" s="79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21"/>
      <c r="U567" s="1"/>
      <c r="V567" s="1"/>
      <c r="W567" s="79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21"/>
      <c r="U568" s="1"/>
      <c r="V568" s="1"/>
      <c r="W568" s="79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21"/>
      <c r="U569" s="1"/>
      <c r="V569" s="1"/>
      <c r="W569" s="79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21"/>
      <c r="U570" s="1"/>
      <c r="V570" s="1"/>
      <c r="W570" s="79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21"/>
      <c r="U571" s="1"/>
      <c r="V571" s="1"/>
      <c r="W571" s="79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21"/>
      <c r="U572" s="1"/>
      <c r="V572" s="1"/>
      <c r="W572" s="79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21"/>
      <c r="U573" s="1"/>
      <c r="V573" s="1"/>
      <c r="W573" s="79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21"/>
      <c r="U574" s="1"/>
      <c r="V574" s="1"/>
      <c r="W574" s="79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21"/>
      <c r="U575" s="1"/>
      <c r="V575" s="1"/>
      <c r="W575" s="79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21"/>
      <c r="U576" s="1"/>
      <c r="V576" s="1"/>
      <c r="W576" s="79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21"/>
      <c r="U577" s="1"/>
      <c r="V577" s="1"/>
      <c r="W577" s="79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21"/>
      <c r="U578" s="1"/>
      <c r="V578" s="1"/>
      <c r="W578" s="79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21"/>
      <c r="U579" s="1"/>
      <c r="V579" s="1"/>
      <c r="W579" s="79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21"/>
      <c r="U580" s="1"/>
      <c r="V580" s="1"/>
      <c r="W580" s="79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21"/>
      <c r="U581" s="1"/>
      <c r="V581" s="1"/>
      <c r="W581" s="79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21"/>
      <c r="U582" s="1"/>
      <c r="V582" s="1"/>
      <c r="W582" s="79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21"/>
      <c r="U583" s="1"/>
      <c r="V583" s="1"/>
      <c r="W583" s="79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21"/>
      <c r="U584" s="1"/>
      <c r="V584" s="1"/>
      <c r="W584" s="79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21"/>
      <c r="U585" s="1"/>
      <c r="V585" s="1"/>
      <c r="W585" s="79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21"/>
      <c r="U586" s="1"/>
      <c r="V586" s="1"/>
      <c r="W586" s="79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21"/>
      <c r="U587" s="1"/>
      <c r="V587" s="1"/>
      <c r="W587" s="79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21"/>
      <c r="U588" s="1"/>
      <c r="V588" s="1"/>
      <c r="W588" s="79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21"/>
      <c r="U589" s="1"/>
      <c r="V589" s="1"/>
      <c r="W589" s="79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21"/>
      <c r="U590" s="1"/>
      <c r="V590" s="1"/>
      <c r="W590" s="79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21"/>
      <c r="U591" s="1"/>
      <c r="V591" s="1"/>
      <c r="W591" s="79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21"/>
      <c r="U592" s="1"/>
      <c r="V592" s="1"/>
      <c r="W592" s="79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21"/>
      <c r="U593" s="1"/>
      <c r="V593" s="1"/>
      <c r="W593" s="79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21"/>
      <c r="U594" s="1"/>
      <c r="V594" s="1"/>
      <c r="W594" s="79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21"/>
      <c r="U595" s="1"/>
      <c r="V595" s="1"/>
      <c r="W595" s="79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21"/>
      <c r="U596" s="1"/>
      <c r="V596" s="1"/>
      <c r="W596" s="79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21"/>
      <c r="U597" s="1"/>
      <c r="V597" s="1"/>
      <c r="W597" s="79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21"/>
      <c r="U598" s="1"/>
      <c r="V598" s="1"/>
      <c r="W598" s="79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21"/>
      <c r="U599" s="1"/>
      <c r="V599" s="1"/>
      <c r="W599" s="79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21"/>
      <c r="U600" s="1"/>
      <c r="V600" s="1"/>
      <c r="W600" s="79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21"/>
      <c r="U601" s="1"/>
      <c r="V601" s="1"/>
      <c r="W601" s="79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21"/>
      <c r="U602" s="1"/>
      <c r="V602" s="1"/>
      <c r="W602" s="79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21"/>
      <c r="U603" s="1"/>
      <c r="V603" s="1"/>
      <c r="W603" s="79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21"/>
      <c r="U604" s="1"/>
      <c r="V604" s="1"/>
      <c r="W604" s="79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21"/>
      <c r="U605" s="1"/>
      <c r="V605" s="1"/>
      <c r="W605" s="79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21"/>
      <c r="U606" s="1"/>
      <c r="V606" s="1"/>
      <c r="W606" s="79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21"/>
      <c r="U607" s="1"/>
      <c r="V607" s="1"/>
      <c r="W607" s="79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21"/>
      <c r="U608" s="1"/>
      <c r="V608" s="1"/>
      <c r="W608" s="79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21"/>
      <c r="U609" s="1"/>
      <c r="V609" s="1"/>
      <c r="W609" s="79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21"/>
      <c r="U610" s="1"/>
      <c r="V610" s="1"/>
      <c r="W610" s="79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21"/>
      <c r="U611" s="1"/>
      <c r="V611" s="1"/>
      <c r="W611" s="79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21"/>
      <c r="U612" s="1"/>
      <c r="V612" s="1"/>
      <c r="W612" s="79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21"/>
      <c r="U613" s="1"/>
      <c r="V613" s="1"/>
      <c r="W613" s="79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21"/>
      <c r="U614" s="1"/>
      <c r="V614" s="1"/>
      <c r="W614" s="79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21"/>
      <c r="U615" s="1"/>
      <c r="V615" s="1"/>
      <c r="W615" s="79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21"/>
      <c r="U616" s="1"/>
      <c r="V616" s="1"/>
      <c r="W616" s="79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21"/>
      <c r="U617" s="1"/>
      <c r="V617" s="1"/>
      <c r="W617" s="79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21"/>
      <c r="U618" s="1"/>
      <c r="V618" s="1"/>
      <c r="W618" s="79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21"/>
      <c r="U619" s="1"/>
      <c r="V619" s="1"/>
      <c r="W619" s="79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21"/>
      <c r="U620" s="1"/>
      <c r="V620" s="1"/>
      <c r="W620" s="79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21"/>
      <c r="U621" s="1"/>
      <c r="V621" s="1"/>
      <c r="W621" s="79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21"/>
      <c r="U622" s="1"/>
      <c r="V622" s="1"/>
      <c r="W622" s="79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21"/>
      <c r="U623" s="1"/>
      <c r="V623" s="1"/>
      <c r="W623" s="79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21"/>
      <c r="U624" s="1"/>
      <c r="V624" s="1"/>
      <c r="W624" s="79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21"/>
      <c r="U625" s="1"/>
      <c r="V625" s="1"/>
      <c r="W625" s="79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21"/>
      <c r="U626" s="1"/>
      <c r="V626" s="1"/>
      <c r="W626" s="79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21"/>
      <c r="U627" s="1"/>
      <c r="V627" s="1"/>
      <c r="W627" s="79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21"/>
      <c r="U628" s="1"/>
      <c r="V628" s="1"/>
      <c r="W628" s="79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21"/>
      <c r="U629" s="1"/>
      <c r="V629" s="1"/>
      <c r="W629" s="79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21"/>
      <c r="U630" s="1"/>
      <c r="V630" s="1"/>
      <c r="W630" s="79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21"/>
      <c r="U631" s="1"/>
      <c r="V631" s="1"/>
      <c r="W631" s="79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21"/>
      <c r="U632" s="1"/>
      <c r="V632" s="1"/>
      <c r="W632" s="79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21"/>
      <c r="U633" s="1"/>
      <c r="V633" s="1"/>
      <c r="W633" s="79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21"/>
      <c r="U634" s="1"/>
      <c r="V634" s="1"/>
      <c r="W634" s="79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21"/>
      <c r="U635" s="1"/>
      <c r="V635" s="1"/>
      <c r="W635" s="79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21"/>
      <c r="U636" s="1"/>
      <c r="V636" s="1"/>
      <c r="W636" s="79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21"/>
      <c r="U637" s="1"/>
      <c r="V637" s="1"/>
      <c r="W637" s="79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21"/>
      <c r="U638" s="1"/>
      <c r="V638" s="1"/>
      <c r="W638" s="79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21"/>
      <c r="U639" s="1"/>
      <c r="V639" s="1"/>
      <c r="W639" s="79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21"/>
      <c r="U640" s="1"/>
      <c r="V640" s="1"/>
      <c r="W640" s="79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21"/>
      <c r="U641" s="1"/>
      <c r="V641" s="1"/>
      <c r="W641" s="79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21"/>
      <c r="U642" s="1"/>
      <c r="V642" s="1"/>
      <c r="W642" s="79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21"/>
      <c r="U643" s="1"/>
      <c r="V643" s="1"/>
      <c r="W643" s="79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21"/>
      <c r="U644" s="1"/>
      <c r="V644" s="1"/>
      <c r="W644" s="79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21"/>
      <c r="U645" s="1"/>
      <c r="V645" s="1"/>
      <c r="W645" s="79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21"/>
      <c r="U646" s="1"/>
      <c r="V646" s="1"/>
      <c r="W646" s="79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21"/>
      <c r="U647" s="1"/>
      <c r="V647" s="1"/>
      <c r="W647" s="79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21"/>
      <c r="U648" s="1"/>
      <c r="V648" s="1"/>
      <c r="W648" s="79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21"/>
      <c r="U649" s="1"/>
      <c r="V649" s="1"/>
      <c r="W649" s="79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21"/>
      <c r="U650" s="1"/>
      <c r="V650" s="1"/>
      <c r="W650" s="79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21"/>
      <c r="U651" s="1"/>
      <c r="V651" s="1"/>
      <c r="W651" s="79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21"/>
      <c r="U652" s="1"/>
      <c r="V652" s="1"/>
      <c r="W652" s="79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21"/>
      <c r="U653" s="1"/>
      <c r="V653" s="1"/>
      <c r="W653" s="79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21"/>
      <c r="U654" s="1"/>
      <c r="V654" s="1"/>
      <c r="W654" s="79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21"/>
      <c r="U655" s="1"/>
      <c r="V655" s="1"/>
      <c r="W655" s="79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21"/>
      <c r="U656" s="1"/>
      <c r="V656" s="1"/>
      <c r="W656" s="79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21"/>
      <c r="U657" s="1"/>
      <c r="V657" s="1"/>
      <c r="W657" s="79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21"/>
      <c r="U658" s="1"/>
      <c r="V658" s="1"/>
      <c r="W658" s="79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21"/>
      <c r="U659" s="1"/>
      <c r="V659" s="1"/>
      <c r="W659" s="79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21"/>
      <c r="U660" s="1"/>
      <c r="V660" s="1"/>
      <c r="W660" s="79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21"/>
      <c r="U661" s="1"/>
      <c r="V661" s="1"/>
      <c r="W661" s="79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21"/>
      <c r="U662" s="1"/>
      <c r="V662" s="1"/>
      <c r="W662" s="79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21"/>
      <c r="U663" s="1"/>
      <c r="V663" s="1"/>
      <c r="W663" s="79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21"/>
      <c r="U664" s="1"/>
      <c r="V664" s="1"/>
      <c r="W664" s="79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21"/>
      <c r="U665" s="1"/>
      <c r="V665" s="1"/>
      <c r="W665" s="79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21"/>
      <c r="U666" s="1"/>
      <c r="V666" s="1"/>
      <c r="W666" s="79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21"/>
      <c r="U667" s="1"/>
      <c r="V667" s="1"/>
      <c r="W667" s="79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21"/>
      <c r="U668" s="1"/>
      <c r="V668" s="1"/>
      <c r="W668" s="79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21"/>
      <c r="U669" s="1"/>
      <c r="V669" s="1"/>
      <c r="W669" s="79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21"/>
      <c r="U670" s="1"/>
      <c r="V670" s="1"/>
      <c r="W670" s="79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21"/>
      <c r="U671" s="1"/>
      <c r="V671" s="1"/>
      <c r="W671" s="79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21"/>
      <c r="U672" s="1"/>
      <c r="V672" s="1"/>
      <c r="W672" s="79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21"/>
      <c r="U673" s="1"/>
      <c r="V673" s="1"/>
      <c r="W673" s="79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21"/>
      <c r="U674" s="1"/>
      <c r="V674" s="1"/>
      <c r="W674" s="79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21"/>
      <c r="U675" s="1"/>
      <c r="V675" s="1"/>
      <c r="W675" s="79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21"/>
      <c r="U676" s="1"/>
      <c r="V676" s="1"/>
      <c r="W676" s="79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21"/>
      <c r="U677" s="1"/>
      <c r="V677" s="1"/>
      <c r="W677" s="79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21"/>
      <c r="U678" s="1"/>
      <c r="V678" s="1"/>
      <c r="W678" s="79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21"/>
      <c r="U679" s="1"/>
      <c r="V679" s="1"/>
      <c r="W679" s="79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21"/>
      <c r="U680" s="1"/>
      <c r="V680" s="1"/>
      <c r="W680" s="79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21"/>
      <c r="U681" s="1"/>
      <c r="V681" s="1"/>
      <c r="W681" s="79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21"/>
      <c r="U682" s="1"/>
      <c r="V682" s="1"/>
      <c r="W682" s="79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21"/>
      <c r="U683" s="1"/>
      <c r="V683" s="1"/>
      <c r="W683" s="79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21"/>
      <c r="U684" s="1"/>
      <c r="V684" s="1"/>
      <c r="W684" s="79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21"/>
      <c r="U685" s="1"/>
      <c r="V685" s="1"/>
      <c r="W685" s="79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21"/>
      <c r="U686" s="1"/>
      <c r="V686" s="1"/>
      <c r="W686" s="79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21"/>
      <c r="U687" s="1"/>
      <c r="V687" s="1"/>
      <c r="W687" s="79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21"/>
      <c r="U688" s="1"/>
      <c r="V688" s="1"/>
      <c r="W688" s="79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21"/>
      <c r="U689" s="1"/>
      <c r="V689" s="1"/>
      <c r="W689" s="79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21"/>
      <c r="U690" s="1"/>
      <c r="V690" s="1"/>
      <c r="W690" s="79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21"/>
      <c r="U691" s="1"/>
      <c r="V691" s="1"/>
      <c r="W691" s="79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21"/>
      <c r="U692" s="1"/>
      <c r="V692" s="1"/>
      <c r="W692" s="79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21"/>
      <c r="U693" s="1"/>
      <c r="V693" s="1"/>
      <c r="W693" s="79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21"/>
      <c r="U694" s="1"/>
      <c r="V694" s="1"/>
      <c r="W694" s="79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21"/>
      <c r="U695" s="1"/>
      <c r="V695" s="1"/>
      <c r="W695" s="79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21"/>
      <c r="U696" s="1"/>
      <c r="V696" s="1"/>
      <c r="W696" s="79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21"/>
      <c r="U697" s="1"/>
      <c r="V697" s="1"/>
      <c r="W697" s="79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21"/>
      <c r="U698" s="1"/>
      <c r="V698" s="1"/>
      <c r="W698" s="79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21"/>
      <c r="U699" s="1"/>
      <c r="V699" s="1"/>
      <c r="W699" s="79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21"/>
      <c r="U700" s="1"/>
      <c r="V700" s="1"/>
      <c r="W700" s="79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21"/>
      <c r="U701" s="1"/>
      <c r="V701" s="1"/>
      <c r="W701" s="79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21"/>
      <c r="U702" s="1"/>
      <c r="V702" s="1"/>
      <c r="W702" s="79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21"/>
      <c r="U703" s="1"/>
      <c r="V703" s="1"/>
      <c r="W703" s="79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21"/>
      <c r="U704" s="1"/>
      <c r="V704" s="1"/>
      <c r="W704" s="79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21"/>
      <c r="U705" s="1"/>
      <c r="V705" s="1"/>
      <c r="W705" s="79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21"/>
      <c r="U706" s="1"/>
      <c r="V706" s="1"/>
      <c r="W706" s="79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21"/>
      <c r="U707" s="1"/>
      <c r="V707" s="1"/>
      <c r="W707" s="79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21"/>
      <c r="U708" s="1"/>
      <c r="V708" s="1"/>
      <c r="W708" s="79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21"/>
      <c r="U709" s="1"/>
      <c r="V709" s="1"/>
      <c r="W709" s="79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21"/>
      <c r="U710" s="1"/>
      <c r="V710" s="1"/>
      <c r="W710" s="79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21"/>
      <c r="U711" s="1"/>
      <c r="V711" s="1"/>
      <c r="W711" s="79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21"/>
      <c r="U712" s="1"/>
      <c r="V712" s="1"/>
      <c r="W712" s="79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21"/>
      <c r="U713" s="1"/>
      <c r="V713" s="1"/>
      <c r="W713" s="79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21"/>
      <c r="U714" s="1"/>
      <c r="V714" s="1"/>
      <c r="W714" s="79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21"/>
      <c r="U715" s="1"/>
      <c r="V715" s="1"/>
      <c r="W715" s="79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21"/>
      <c r="U716" s="1"/>
      <c r="V716" s="1"/>
      <c r="W716" s="79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21"/>
      <c r="U717" s="1"/>
      <c r="V717" s="1"/>
      <c r="W717" s="79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21"/>
      <c r="U718" s="1"/>
      <c r="V718" s="1"/>
      <c r="W718" s="79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21"/>
      <c r="U719" s="1"/>
      <c r="V719" s="1"/>
      <c r="W719" s="79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21"/>
      <c r="U720" s="1"/>
      <c r="V720" s="1"/>
      <c r="W720" s="79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21"/>
      <c r="U721" s="1"/>
      <c r="V721" s="1"/>
      <c r="W721" s="79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21"/>
      <c r="U722" s="1"/>
      <c r="V722" s="1"/>
      <c r="W722" s="79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21"/>
      <c r="U723" s="1"/>
      <c r="V723" s="1"/>
      <c r="W723" s="79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21"/>
      <c r="U724" s="1"/>
      <c r="V724" s="1"/>
      <c r="W724" s="79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21"/>
      <c r="U725" s="1"/>
      <c r="V725" s="1"/>
      <c r="W725" s="79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21"/>
      <c r="U726" s="1"/>
      <c r="V726" s="1"/>
      <c r="W726" s="79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21"/>
      <c r="U727" s="1"/>
      <c r="V727" s="1"/>
      <c r="W727" s="79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21"/>
      <c r="U728" s="1"/>
      <c r="V728" s="1"/>
      <c r="W728" s="79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21"/>
      <c r="U729" s="1"/>
      <c r="V729" s="1"/>
      <c r="W729" s="79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21"/>
      <c r="U730" s="1"/>
      <c r="V730" s="1"/>
      <c r="W730" s="79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21"/>
      <c r="U731" s="1"/>
      <c r="V731" s="1"/>
      <c r="W731" s="79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21"/>
      <c r="U732" s="1"/>
      <c r="V732" s="1"/>
      <c r="W732" s="79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21"/>
      <c r="U733" s="1"/>
      <c r="V733" s="1"/>
      <c r="W733" s="79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21"/>
      <c r="U734" s="1"/>
      <c r="V734" s="1"/>
      <c r="W734" s="79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21"/>
      <c r="U735" s="1"/>
      <c r="V735" s="1"/>
      <c r="W735" s="79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21"/>
      <c r="U736" s="1"/>
      <c r="V736" s="1"/>
      <c r="W736" s="79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21"/>
      <c r="U737" s="1"/>
      <c r="V737" s="1"/>
      <c r="W737" s="79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21"/>
      <c r="U738" s="1"/>
      <c r="V738" s="1"/>
      <c r="W738" s="79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21"/>
      <c r="U739" s="1"/>
      <c r="V739" s="1"/>
      <c r="W739" s="79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21"/>
      <c r="U740" s="1"/>
      <c r="V740" s="1"/>
      <c r="W740" s="79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21"/>
      <c r="U741" s="1"/>
      <c r="V741" s="1"/>
      <c r="W741" s="79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21"/>
      <c r="U742" s="1"/>
      <c r="V742" s="1"/>
      <c r="W742" s="79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21"/>
      <c r="U743" s="1"/>
      <c r="V743" s="1"/>
      <c r="W743" s="79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21"/>
      <c r="U744" s="1"/>
      <c r="V744" s="1"/>
      <c r="W744" s="79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21"/>
      <c r="U745" s="1"/>
      <c r="V745" s="1"/>
      <c r="W745" s="79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21"/>
      <c r="U746" s="1"/>
      <c r="V746" s="1"/>
      <c r="W746" s="79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21"/>
      <c r="U747" s="1"/>
      <c r="V747" s="1"/>
      <c r="W747" s="79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21"/>
      <c r="U748" s="1"/>
      <c r="V748" s="1"/>
      <c r="W748" s="79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21"/>
      <c r="U749" s="1"/>
      <c r="V749" s="1"/>
      <c r="W749" s="79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21"/>
      <c r="U750" s="1"/>
      <c r="V750" s="1"/>
      <c r="W750" s="79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21"/>
      <c r="U751" s="1"/>
      <c r="V751" s="1"/>
      <c r="W751" s="79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21"/>
      <c r="U752" s="1"/>
      <c r="V752" s="1"/>
      <c r="W752" s="79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21"/>
      <c r="U753" s="1"/>
      <c r="V753" s="1"/>
      <c r="W753" s="79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21"/>
      <c r="U754" s="1"/>
      <c r="V754" s="1"/>
      <c r="W754" s="79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21"/>
      <c r="U755" s="1"/>
      <c r="V755" s="1"/>
      <c r="W755" s="79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21"/>
      <c r="U756" s="1"/>
      <c r="V756" s="1"/>
      <c r="W756" s="79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21"/>
      <c r="U757" s="1"/>
      <c r="V757" s="1"/>
      <c r="W757" s="79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21"/>
      <c r="U758" s="1"/>
      <c r="V758" s="1"/>
      <c r="W758" s="79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21"/>
      <c r="U759" s="1"/>
      <c r="V759" s="1"/>
      <c r="W759" s="79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21"/>
      <c r="U760" s="1"/>
      <c r="V760" s="1"/>
      <c r="W760" s="79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21"/>
      <c r="U761" s="1"/>
      <c r="V761" s="1"/>
      <c r="W761" s="79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21"/>
      <c r="U762" s="1"/>
      <c r="V762" s="1"/>
      <c r="W762" s="79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21"/>
      <c r="U763" s="1"/>
      <c r="V763" s="1"/>
      <c r="W763" s="79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21"/>
      <c r="U764" s="1"/>
      <c r="V764" s="1"/>
      <c r="W764" s="79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21"/>
      <c r="U765" s="1"/>
      <c r="V765" s="1"/>
      <c r="W765" s="79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21"/>
      <c r="U766" s="1"/>
      <c r="V766" s="1"/>
      <c r="W766" s="79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21"/>
      <c r="U767" s="1"/>
      <c r="V767" s="1"/>
      <c r="W767" s="79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21"/>
      <c r="U768" s="1"/>
      <c r="V768" s="1"/>
      <c r="W768" s="79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21"/>
      <c r="U769" s="1"/>
      <c r="V769" s="1"/>
      <c r="W769" s="79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21"/>
      <c r="U770" s="1"/>
      <c r="V770" s="1"/>
      <c r="W770" s="79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21"/>
      <c r="U771" s="1"/>
      <c r="V771" s="1"/>
      <c r="W771" s="79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21"/>
      <c r="U772" s="1"/>
      <c r="V772" s="1"/>
      <c r="W772" s="79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21"/>
      <c r="U773" s="1"/>
      <c r="V773" s="1"/>
      <c r="W773" s="79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21"/>
      <c r="U774" s="1"/>
      <c r="V774" s="1"/>
      <c r="W774" s="79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21"/>
      <c r="U775" s="1"/>
      <c r="V775" s="1"/>
      <c r="W775" s="79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21"/>
      <c r="U776" s="1"/>
      <c r="V776" s="1"/>
      <c r="W776" s="79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21"/>
      <c r="U777" s="1"/>
      <c r="V777" s="1"/>
      <c r="W777" s="79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21"/>
      <c r="U778" s="1"/>
      <c r="V778" s="1"/>
      <c r="W778" s="79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21"/>
      <c r="U779" s="1"/>
      <c r="V779" s="1"/>
      <c r="W779" s="79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21"/>
      <c r="U780" s="1"/>
      <c r="V780" s="1"/>
      <c r="W780" s="79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21"/>
      <c r="U781" s="1"/>
      <c r="V781" s="1"/>
      <c r="W781" s="79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21"/>
      <c r="U782" s="1"/>
      <c r="V782" s="1"/>
      <c r="W782" s="79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21"/>
      <c r="U783" s="1"/>
      <c r="V783" s="1"/>
      <c r="W783" s="79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21"/>
      <c r="U784" s="1"/>
      <c r="V784" s="1"/>
      <c r="W784" s="79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21"/>
      <c r="U785" s="1"/>
      <c r="V785" s="1"/>
      <c r="W785" s="79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21"/>
      <c r="U786" s="1"/>
      <c r="V786" s="1"/>
      <c r="W786" s="79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21"/>
      <c r="U787" s="1"/>
      <c r="V787" s="1"/>
      <c r="W787" s="79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21"/>
      <c r="U788" s="1"/>
      <c r="V788" s="1"/>
      <c r="W788" s="79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21"/>
      <c r="U789" s="1"/>
      <c r="V789" s="1"/>
      <c r="W789" s="79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21"/>
      <c r="U790" s="1"/>
      <c r="V790" s="1"/>
      <c r="W790" s="79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21"/>
      <c r="U791" s="1"/>
      <c r="V791" s="1"/>
      <c r="W791" s="79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21"/>
      <c r="U792" s="1"/>
      <c r="V792" s="1"/>
      <c r="W792" s="79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21"/>
      <c r="U793" s="1"/>
      <c r="V793" s="1"/>
      <c r="W793" s="79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21"/>
      <c r="U794" s="1"/>
      <c r="V794" s="1"/>
      <c r="W794" s="79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21"/>
      <c r="U795" s="1"/>
      <c r="V795" s="1"/>
      <c r="W795" s="79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21"/>
      <c r="U796" s="1"/>
      <c r="V796" s="1"/>
      <c r="W796" s="79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21"/>
      <c r="U797" s="1"/>
      <c r="V797" s="1"/>
      <c r="W797" s="79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21"/>
      <c r="U798" s="1"/>
      <c r="V798" s="1"/>
      <c r="W798" s="79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21"/>
      <c r="U799" s="1"/>
      <c r="V799" s="1"/>
      <c r="W799" s="79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21"/>
      <c r="U800" s="1"/>
      <c r="V800" s="1"/>
      <c r="W800" s="79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21"/>
      <c r="U801" s="1"/>
      <c r="V801" s="1"/>
      <c r="W801" s="79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21"/>
      <c r="U802" s="1"/>
      <c r="V802" s="1"/>
      <c r="W802" s="79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21"/>
      <c r="U803" s="1"/>
      <c r="V803" s="1"/>
      <c r="W803" s="79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21"/>
      <c r="U804" s="1"/>
      <c r="V804" s="1"/>
      <c r="W804" s="79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21"/>
      <c r="U805" s="1"/>
      <c r="V805" s="1"/>
      <c r="W805" s="79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21"/>
      <c r="U806" s="1"/>
      <c r="V806" s="1"/>
      <c r="W806" s="79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21"/>
      <c r="U807" s="1"/>
      <c r="V807" s="1"/>
      <c r="W807" s="79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21"/>
      <c r="U808" s="1"/>
      <c r="V808" s="1"/>
      <c r="W808" s="79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21"/>
      <c r="U809" s="1"/>
      <c r="V809" s="1"/>
      <c r="W809" s="79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21"/>
      <c r="U810" s="1"/>
      <c r="V810" s="1"/>
      <c r="W810" s="79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21"/>
      <c r="U811" s="1"/>
      <c r="V811" s="1"/>
      <c r="W811" s="79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21"/>
      <c r="U812" s="1"/>
      <c r="V812" s="1"/>
      <c r="W812" s="79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21"/>
      <c r="U813" s="1"/>
      <c r="V813" s="1"/>
      <c r="W813" s="79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21"/>
      <c r="U814" s="1"/>
      <c r="V814" s="1"/>
      <c r="W814" s="79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21"/>
      <c r="U815" s="1"/>
      <c r="V815" s="1"/>
      <c r="W815" s="79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21"/>
      <c r="U816" s="1"/>
      <c r="V816" s="1"/>
      <c r="W816" s="79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21"/>
      <c r="U817" s="1"/>
      <c r="V817" s="1"/>
      <c r="W817" s="79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21"/>
      <c r="U818" s="1"/>
      <c r="V818" s="1"/>
      <c r="W818" s="79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21"/>
      <c r="U819" s="1"/>
      <c r="V819" s="1"/>
      <c r="W819" s="79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21"/>
      <c r="U820" s="1"/>
      <c r="V820" s="1"/>
      <c r="W820" s="79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21"/>
      <c r="U821" s="1"/>
      <c r="V821" s="1"/>
      <c r="W821" s="79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21"/>
      <c r="U822" s="1"/>
      <c r="V822" s="1"/>
      <c r="W822" s="79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21"/>
      <c r="U823" s="1"/>
      <c r="V823" s="1"/>
      <c r="W823" s="79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21"/>
      <c r="U824" s="1"/>
      <c r="V824" s="1"/>
      <c r="W824" s="79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21"/>
      <c r="U825" s="1"/>
      <c r="V825" s="1"/>
      <c r="W825" s="79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21"/>
      <c r="U826" s="1"/>
      <c r="V826" s="1"/>
      <c r="W826" s="79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21"/>
      <c r="U827" s="1"/>
      <c r="V827" s="1"/>
      <c r="W827" s="79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21"/>
      <c r="U828" s="1"/>
      <c r="V828" s="1"/>
      <c r="W828" s="79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21"/>
      <c r="U829" s="1"/>
      <c r="V829" s="1"/>
      <c r="W829" s="79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21"/>
      <c r="U830" s="1"/>
      <c r="V830" s="1"/>
      <c r="W830" s="79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21"/>
      <c r="U831" s="1"/>
      <c r="V831" s="1"/>
      <c r="W831" s="79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21"/>
      <c r="U832" s="1"/>
      <c r="V832" s="1"/>
      <c r="W832" s="79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21"/>
      <c r="U833" s="1"/>
      <c r="V833" s="1"/>
      <c r="W833" s="79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21"/>
      <c r="U834" s="1"/>
      <c r="V834" s="1"/>
      <c r="W834" s="79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21"/>
      <c r="U835" s="1"/>
      <c r="V835" s="1"/>
      <c r="W835" s="79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21"/>
      <c r="U836" s="1"/>
      <c r="V836" s="1"/>
      <c r="W836" s="79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21"/>
      <c r="U837" s="1"/>
      <c r="V837" s="1"/>
      <c r="W837" s="79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21"/>
      <c r="U838" s="1"/>
      <c r="V838" s="1"/>
      <c r="W838" s="79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21"/>
      <c r="U839" s="1"/>
      <c r="V839" s="1"/>
      <c r="W839" s="79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21"/>
      <c r="U840" s="1"/>
      <c r="V840" s="1"/>
      <c r="W840" s="79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21"/>
      <c r="U841" s="1"/>
      <c r="V841" s="1"/>
      <c r="W841" s="79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21"/>
      <c r="U842" s="1"/>
      <c r="V842" s="1"/>
      <c r="W842" s="79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21"/>
      <c r="U843" s="1"/>
      <c r="V843" s="1"/>
      <c r="W843" s="79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21"/>
      <c r="U844" s="1"/>
      <c r="V844" s="1"/>
      <c r="W844" s="79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21"/>
      <c r="U845" s="1"/>
      <c r="V845" s="1"/>
      <c r="W845" s="79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21"/>
      <c r="U846" s="1"/>
      <c r="V846" s="1"/>
      <c r="W846" s="79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21"/>
      <c r="U847" s="1"/>
      <c r="V847" s="1"/>
      <c r="W847" s="79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21"/>
      <c r="U848" s="1"/>
      <c r="V848" s="1"/>
      <c r="W848" s="79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21"/>
      <c r="U849" s="1"/>
      <c r="V849" s="1"/>
      <c r="W849" s="79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21"/>
      <c r="U850" s="1"/>
      <c r="V850" s="1"/>
      <c r="W850" s="79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21"/>
      <c r="U851" s="1"/>
      <c r="V851" s="1"/>
      <c r="W851" s="79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21"/>
      <c r="U852" s="1"/>
      <c r="V852" s="1"/>
      <c r="W852" s="79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21"/>
      <c r="U853" s="1"/>
      <c r="V853" s="1"/>
      <c r="W853" s="79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21"/>
      <c r="U854" s="1"/>
      <c r="V854" s="1"/>
      <c r="W854" s="79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21"/>
      <c r="U855" s="1"/>
      <c r="V855" s="1"/>
      <c r="W855" s="79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21"/>
      <c r="U856" s="1"/>
      <c r="V856" s="1"/>
      <c r="W856" s="79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21"/>
      <c r="U857" s="1"/>
      <c r="V857" s="1"/>
      <c r="W857" s="79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21"/>
      <c r="U858" s="1"/>
      <c r="V858" s="1"/>
      <c r="W858" s="79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21"/>
      <c r="U859" s="1"/>
      <c r="V859" s="1"/>
      <c r="W859" s="79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21"/>
      <c r="U860" s="1"/>
      <c r="V860" s="1"/>
      <c r="W860" s="79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21"/>
      <c r="U861" s="1"/>
      <c r="V861" s="1"/>
      <c r="W861" s="79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21"/>
      <c r="U862" s="1"/>
      <c r="V862" s="1"/>
      <c r="W862" s="79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21"/>
      <c r="U863" s="1"/>
      <c r="V863" s="1"/>
      <c r="W863" s="79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21"/>
      <c r="U864" s="1"/>
      <c r="V864" s="1"/>
      <c r="W864" s="79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21"/>
      <c r="U865" s="1"/>
      <c r="V865" s="1"/>
      <c r="W865" s="79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21"/>
      <c r="U866" s="1"/>
      <c r="V866" s="1"/>
      <c r="W866" s="79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21"/>
      <c r="U867" s="1"/>
      <c r="V867" s="1"/>
      <c r="W867" s="79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21"/>
      <c r="U868" s="1"/>
      <c r="V868" s="1"/>
      <c r="W868" s="79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21"/>
      <c r="U869" s="1"/>
      <c r="V869" s="1"/>
      <c r="W869" s="79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21"/>
      <c r="U870" s="1"/>
      <c r="V870" s="1"/>
      <c r="W870" s="79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21"/>
      <c r="U871" s="1"/>
      <c r="V871" s="1"/>
      <c r="W871" s="79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21"/>
      <c r="U872" s="1"/>
      <c r="V872" s="1"/>
      <c r="W872" s="79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21"/>
      <c r="U873" s="1"/>
      <c r="V873" s="1"/>
      <c r="W873" s="79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21"/>
      <c r="U874" s="1"/>
      <c r="V874" s="1"/>
      <c r="W874" s="79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21"/>
      <c r="U875" s="1"/>
      <c r="V875" s="1"/>
      <c r="W875" s="79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21"/>
      <c r="U876" s="1"/>
      <c r="V876" s="1"/>
      <c r="W876" s="79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21"/>
      <c r="U877" s="1"/>
      <c r="V877" s="1"/>
      <c r="W877" s="79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21"/>
      <c r="U878" s="1"/>
      <c r="V878" s="1"/>
      <c r="W878" s="79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21"/>
      <c r="U879" s="1"/>
      <c r="V879" s="1"/>
      <c r="W879" s="79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21"/>
      <c r="U880" s="1"/>
      <c r="V880" s="1"/>
      <c r="W880" s="79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21"/>
      <c r="U881" s="1"/>
      <c r="V881" s="1"/>
      <c r="W881" s="79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21"/>
      <c r="U882" s="1"/>
      <c r="V882" s="1"/>
      <c r="W882" s="79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21"/>
      <c r="U883" s="1"/>
      <c r="V883" s="1"/>
      <c r="W883" s="79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21"/>
      <c r="U884" s="1"/>
      <c r="V884" s="1"/>
      <c r="W884" s="79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21"/>
      <c r="U885" s="1"/>
      <c r="V885" s="1"/>
      <c r="W885" s="79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21"/>
      <c r="U886" s="1"/>
      <c r="V886" s="1"/>
      <c r="W886" s="79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21"/>
      <c r="U887" s="1"/>
      <c r="V887" s="1"/>
      <c r="W887" s="79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21"/>
      <c r="U888" s="1"/>
      <c r="V888" s="1"/>
      <c r="W888" s="79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21"/>
      <c r="U889" s="1"/>
      <c r="V889" s="1"/>
      <c r="W889" s="79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21"/>
      <c r="U890" s="1"/>
      <c r="V890" s="1"/>
      <c r="W890" s="79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21"/>
      <c r="U891" s="1"/>
      <c r="V891" s="1"/>
      <c r="W891" s="79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21"/>
      <c r="U892" s="1"/>
      <c r="V892" s="1"/>
      <c r="W892" s="79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21"/>
      <c r="U893" s="1"/>
      <c r="V893" s="1"/>
      <c r="W893" s="79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21"/>
      <c r="U894" s="1"/>
      <c r="V894" s="1"/>
      <c r="W894" s="79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21"/>
      <c r="U895" s="1"/>
      <c r="V895" s="1"/>
      <c r="W895" s="79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21"/>
      <c r="U896" s="1"/>
      <c r="V896" s="1"/>
      <c r="W896" s="79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21"/>
      <c r="U897" s="1"/>
      <c r="V897" s="1"/>
      <c r="W897" s="79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21"/>
      <c r="U898" s="1"/>
      <c r="V898" s="1"/>
      <c r="W898" s="79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21"/>
      <c r="U899" s="1"/>
      <c r="V899" s="1"/>
      <c r="W899" s="79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21"/>
      <c r="U900" s="1"/>
      <c r="V900" s="1"/>
      <c r="W900" s="79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21"/>
      <c r="U901" s="1"/>
      <c r="V901" s="1"/>
      <c r="W901" s="79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21"/>
      <c r="U902" s="1"/>
      <c r="V902" s="1"/>
      <c r="W902" s="79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21"/>
      <c r="U903" s="1"/>
      <c r="V903" s="1"/>
      <c r="W903" s="79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21"/>
      <c r="U904" s="1"/>
      <c r="V904" s="1"/>
      <c r="W904" s="79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21"/>
      <c r="U905" s="1"/>
      <c r="V905" s="1"/>
      <c r="W905" s="79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21"/>
      <c r="U906" s="1"/>
      <c r="V906" s="1"/>
      <c r="W906" s="79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21"/>
      <c r="U907" s="1"/>
      <c r="V907" s="1"/>
      <c r="W907" s="79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21"/>
      <c r="U908" s="1"/>
      <c r="V908" s="1"/>
      <c r="W908" s="79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21"/>
      <c r="U909" s="1"/>
      <c r="V909" s="1"/>
      <c r="W909" s="79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21"/>
      <c r="U910" s="1"/>
      <c r="V910" s="1"/>
      <c r="W910" s="79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21"/>
      <c r="U911" s="1"/>
      <c r="V911" s="1"/>
      <c r="W911" s="79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21"/>
      <c r="U912" s="1"/>
      <c r="V912" s="1"/>
      <c r="W912" s="79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21"/>
      <c r="U913" s="1"/>
      <c r="V913" s="1"/>
      <c r="W913" s="79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21"/>
      <c r="U914" s="1"/>
      <c r="V914" s="1"/>
      <c r="W914" s="79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21"/>
      <c r="U915" s="1"/>
      <c r="V915" s="1"/>
      <c r="W915" s="79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21"/>
      <c r="U916" s="1"/>
      <c r="V916" s="1"/>
      <c r="W916" s="79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21"/>
      <c r="U917" s="1"/>
      <c r="V917" s="1"/>
      <c r="W917" s="79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21"/>
      <c r="U918" s="1"/>
      <c r="V918" s="1"/>
      <c r="W918" s="79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21"/>
      <c r="U919" s="1"/>
      <c r="V919" s="1"/>
      <c r="W919" s="79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21"/>
      <c r="U920" s="1"/>
      <c r="V920" s="1"/>
      <c r="W920" s="79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21"/>
      <c r="U921" s="1"/>
      <c r="V921" s="1"/>
      <c r="W921" s="79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21"/>
      <c r="U922" s="1"/>
      <c r="V922" s="1"/>
      <c r="W922" s="79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21"/>
      <c r="U923" s="1"/>
      <c r="V923" s="1"/>
      <c r="W923" s="79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21"/>
      <c r="U924" s="1"/>
      <c r="V924" s="1"/>
      <c r="W924" s="79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21"/>
      <c r="U925" s="1"/>
      <c r="V925" s="1"/>
      <c r="W925" s="79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21"/>
      <c r="U926" s="1"/>
      <c r="V926" s="1"/>
      <c r="W926" s="79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21"/>
      <c r="U927" s="1"/>
      <c r="V927" s="1"/>
      <c r="W927" s="79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21"/>
      <c r="U928" s="1"/>
      <c r="V928" s="1"/>
      <c r="W928" s="79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21"/>
      <c r="U929" s="1"/>
      <c r="V929" s="1"/>
      <c r="W929" s="79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21"/>
      <c r="U930" s="1"/>
      <c r="V930" s="1"/>
      <c r="W930" s="79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21"/>
      <c r="U931" s="1"/>
      <c r="V931" s="1"/>
      <c r="W931" s="79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21"/>
      <c r="U932" s="1"/>
      <c r="V932" s="1"/>
      <c r="W932" s="79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21"/>
      <c r="U933" s="1"/>
      <c r="V933" s="1"/>
      <c r="W933" s="79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21"/>
      <c r="U934" s="1"/>
      <c r="V934" s="1"/>
      <c r="W934" s="79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21"/>
      <c r="U935" s="1"/>
      <c r="V935" s="1"/>
      <c r="W935" s="79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21"/>
      <c r="U936" s="1"/>
      <c r="V936" s="1"/>
      <c r="W936" s="79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21"/>
      <c r="U937" s="1"/>
      <c r="V937" s="1"/>
      <c r="W937" s="79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21"/>
      <c r="U938" s="1"/>
      <c r="V938" s="1"/>
      <c r="W938" s="79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21"/>
      <c r="U939" s="1"/>
      <c r="V939" s="1"/>
      <c r="W939" s="79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21"/>
      <c r="U940" s="1"/>
      <c r="V940" s="1"/>
      <c r="W940" s="79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21"/>
      <c r="U941" s="1"/>
      <c r="V941" s="1"/>
      <c r="W941" s="79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21"/>
      <c r="U942" s="1"/>
      <c r="V942" s="1"/>
      <c r="W942" s="79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21"/>
      <c r="U943" s="1"/>
      <c r="V943" s="1"/>
      <c r="W943" s="79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21"/>
      <c r="U944" s="1"/>
      <c r="V944" s="1"/>
      <c r="W944" s="79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21"/>
      <c r="U945" s="1"/>
      <c r="V945" s="1"/>
      <c r="W945" s="79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21"/>
      <c r="U946" s="1"/>
      <c r="V946" s="1"/>
      <c r="W946" s="79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21"/>
      <c r="U947" s="1"/>
      <c r="V947" s="1"/>
      <c r="W947" s="79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21"/>
      <c r="U948" s="1"/>
      <c r="V948" s="1"/>
      <c r="W948" s="79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21"/>
      <c r="U949" s="1"/>
      <c r="V949" s="1"/>
      <c r="W949" s="79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21"/>
      <c r="U950" s="1"/>
      <c r="V950" s="1"/>
      <c r="W950" s="79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21"/>
      <c r="U951" s="1"/>
      <c r="V951" s="1"/>
      <c r="W951" s="79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21"/>
      <c r="U952" s="1"/>
      <c r="V952" s="1"/>
      <c r="W952" s="79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21"/>
      <c r="U953" s="1"/>
      <c r="V953" s="1"/>
      <c r="W953" s="79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21"/>
      <c r="U954" s="1"/>
      <c r="V954" s="1"/>
      <c r="W954" s="79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21"/>
      <c r="U955" s="1"/>
      <c r="V955" s="1"/>
      <c r="W955" s="79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21"/>
      <c r="U956" s="1"/>
      <c r="V956" s="1"/>
      <c r="W956" s="79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21"/>
      <c r="U957" s="1"/>
      <c r="V957" s="1"/>
      <c r="W957" s="79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21"/>
      <c r="U958" s="1"/>
      <c r="V958" s="1"/>
      <c r="W958" s="79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21"/>
      <c r="U959" s="1"/>
      <c r="V959" s="1"/>
      <c r="W959" s="79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21"/>
      <c r="U960" s="1"/>
      <c r="V960" s="1"/>
      <c r="W960" s="79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21"/>
      <c r="U961" s="1"/>
      <c r="V961" s="1"/>
      <c r="W961" s="79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21"/>
      <c r="U962" s="1"/>
      <c r="V962" s="1"/>
      <c r="W962" s="79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21"/>
      <c r="U963" s="1"/>
      <c r="V963" s="1"/>
      <c r="W963" s="79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21"/>
      <c r="U964" s="1"/>
      <c r="V964" s="1"/>
      <c r="W964" s="79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21"/>
      <c r="U965" s="1"/>
      <c r="V965" s="1"/>
      <c r="W965" s="79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21"/>
      <c r="U966" s="1"/>
      <c r="V966" s="1"/>
      <c r="W966" s="79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21"/>
      <c r="U967" s="1"/>
      <c r="V967" s="1"/>
      <c r="W967" s="79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21"/>
      <c r="U968" s="1"/>
      <c r="V968" s="1"/>
      <c r="W968" s="79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21"/>
      <c r="U969" s="1"/>
      <c r="V969" s="1"/>
      <c r="W969" s="79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21"/>
      <c r="U970" s="1"/>
      <c r="V970" s="1"/>
      <c r="W970" s="79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21"/>
      <c r="U971" s="1"/>
      <c r="V971" s="1"/>
      <c r="W971" s="79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21"/>
      <c r="U972" s="1"/>
      <c r="V972" s="1"/>
      <c r="W972" s="79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21"/>
      <c r="U973" s="1"/>
      <c r="V973" s="1"/>
      <c r="W973" s="79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Q974" s="1"/>
      <c r="R974" s="1"/>
      <c r="S974" s="1"/>
      <c r="T974" s="121"/>
      <c r="U974" s="1"/>
      <c r="V974" s="1"/>
      <c r="W974" s="79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Q975" s="1"/>
      <c r="R975" s="1"/>
      <c r="S975" s="1"/>
      <c r="T975" s="121"/>
      <c r="U975" s="1"/>
      <c r="V975" s="1"/>
      <c r="W975" s="79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Q976" s="1"/>
      <c r="R976" s="1"/>
      <c r="S976" s="1"/>
      <c r="T976" s="121"/>
      <c r="U976" s="1"/>
      <c r="V976" s="1"/>
      <c r="W976" s="79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Q977" s="1"/>
      <c r="R977" s="1"/>
      <c r="S977" s="1"/>
      <c r="T977" s="121"/>
      <c r="U977" s="1"/>
      <c r="V977" s="1"/>
      <c r="W977" s="79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Q978" s="1"/>
      <c r="R978" s="1"/>
      <c r="S978" s="1"/>
      <c r="T978" s="121"/>
      <c r="U978" s="1"/>
      <c r="V978" s="1"/>
      <c r="W978" s="79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Q979" s="1"/>
      <c r="R979" s="1"/>
      <c r="S979" s="1"/>
      <c r="T979" s="121"/>
      <c r="U979" s="1"/>
      <c r="V979" s="1"/>
      <c r="W979" s="79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Q980" s="1"/>
      <c r="R980" s="1"/>
      <c r="S980" s="1"/>
      <c r="T980" s="121"/>
      <c r="U980" s="1"/>
      <c r="V980" s="1"/>
      <c r="W980" s="79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Q981" s="1"/>
      <c r="R981" s="1"/>
      <c r="S981" s="1"/>
      <c r="T981" s="121"/>
      <c r="U981" s="1"/>
      <c r="V981" s="1"/>
      <c r="W981" s="79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Q982" s="1"/>
      <c r="R982" s="1"/>
      <c r="S982" s="1"/>
      <c r="T982" s="121"/>
      <c r="U982" s="1"/>
      <c r="V982" s="1"/>
      <c r="W982" s="79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Q983" s="1"/>
      <c r="R983" s="1"/>
      <c r="S983" s="1"/>
      <c r="T983" s="121"/>
      <c r="U983" s="1"/>
      <c r="V983" s="1"/>
      <c r="W983" s="79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Q984" s="1"/>
      <c r="R984" s="1"/>
      <c r="S984" s="1"/>
      <c r="T984" s="121"/>
      <c r="U984" s="1"/>
      <c r="V984" s="1"/>
      <c r="W984" s="79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Q985" s="1"/>
      <c r="R985" s="1"/>
      <c r="S985" s="1"/>
      <c r="T985" s="121"/>
      <c r="U985" s="1"/>
      <c r="V985" s="1"/>
      <c r="W985" s="79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Q986" s="1"/>
      <c r="R986" s="1"/>
      <c r="S986" s="1"/>
      <c r="T986" s="121"/>
      <c r="U986" s="1"/>
      <c r="V986" s="1"/>
      <c r="W986" s="79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Q987" s="1"/>
      <c r="R987" s="1"/>
      <c r="S987" s="1"/>
      <c r="T987" s="121"/>
      <c r="U987" s="1"/>
      <c r="V987" s="1"/>
      <c r="W987" s="79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Q988" s="1"/>
      <c r="R988" s="1"/>
      <c r="S988" s="1"/>
      <c r="T988" s="121"/>
      <c r="U988" s="1"/>
      <c r="V988" s="1"/>
      <c r="W988" s="79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Q989" s="1"/>
      <c r="R989" s="1"/>
      <c r="S989" s="1"/>
      <c r="T989" s="121"/>
      <c r="U989" s="1"/>
      <c r="V989" s="1"/>
      <c r="W989" s="79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Q990" s="1"/>
      <c r="R990" s="1"/>
      <c r="S990" s="1"/>
      <c r="T990" s="121"/>
      <c r="U990" s="1"/>
      <c r="V990" s="1"/>
      <c r="W990" s="79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Q991" s="1"/>
      <c r="R991" s="1"/>
      <c r="S991" s="1"/>
      <c r="T991" s="121"/>
      <c r="U991" s="1"/>
      <c r="V991" s="1"/>
      <c r="W991" s="79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Q992" s="1"/>
      <c r="R992" s="1"/>
      <c r="S992" s="1"/>
      <c r="T992" s="121"/>
      <c r="U992" s="1"/>
      <c r="V992" s="1"/>
      <c r="W992" s="79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Q993" s="1"/>
      <c r="R993" s="1"/>
      <c r="S993" s="1"/>
      <c r="T993" s="121"/>
      <c r="U993" s="1"/>
      <c r="V993" s="1"/>
      <c r="W993" s="79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Q994" s="1"/>
      <c r="R994" s="1"/>
      <c r="S994" s="1"/>
      <c r="T994" s="121"/>
      <c r="U994" s="1"/>
      <c r="V994" s="1"/>
      <c r="W994" s="79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Q995" s="1"/>
      <c r="R995" s="1"/>
      <c r="S995" s="1"/>
      <c r="T995" s="121"/>
      <c r="U995" s="1"/>
      <c r="V995" s="1"/>
      <c r="W995" s="79"/>
      <c r="X995" s="1"/>
      <c r="Y995" s="1"/>
      <c r="Z995" s="1"/>
      <c r="AA995" s="1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29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11">
      <formula1>"Sales &amp; Marketing,General &amp; Admin,R&amp;D,Salaries &amp; Benefits,Other expenses"</formula1>
    </dataValidation>
    <dataValidation type="list" allowBlank="1" showErrorMessage="1" sqref="Q6:Q25 Q29:Q40">
      <formula1>"Australia,Germany,Singapore,United States,United Kingdom,China,South Korea,Japan,Hong Kong,Vietnam,Malaysia,India,Europe"</formula1>
    </dataValidation>
    <dataValidation type="list" allowBlank="1" showErrorMessage="1" sqref="C6:C7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7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6:R25">
      <formula1>"Business Space, Life Sciences,Industrial,Logistics,Data Centers,Retail,Office,Hi-Tech Buildings,Flatted Factories,Stack-up Buildings"</formula1>
    </dataValidation>
  </dataValidations>
  <hyperlinks>
    <hyperlink r:id="rId1" ref="B1"/>
    <hyperlink r:id="rId2" ref="B2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0.88"/>
    <col customWidth="1" min="18" max="18" width="18.88"/>
    <col customWidth="1" min="19" max="19" width="26.5"/>
    <col customWidth="1" min="20" max="21" width="28.38"/>
    <col customWidth="1" min="22" max="22" width="20.0"/>
    <col customWidth="1" min="23" max="27" width="26.5"/>
  </cols>
  <sheetData>
    <row r="1">
      <c r="A1" s="1" t="s">
        <v>0</v>
      </c>
      <c r="B1" s="2" t="s">
        <v>335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79"/>
      <c r="X1" s="1"/>
      <c r="Y1" s="1"/>
      <c r="Z1" s="1"/>
      <c r="AA1" s="1"/>
    </row>
    <row r="2">
      <c r="A2" s="1" t="s">
        <v>2</v>
      </c>
      <c r="B2" s="5" t="s">
        <v>336</v>
      </c>
      <c r="C2" s="1"/>
      <c r="D2" s="6" t="s">
        <v>4</v>
      </c>
      <c r="E2" s="84">
        <v>45657.0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79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1"/>
      <c r="W3" s="79"/>
      <c r="X3" s="1"/>
      <c r="Y3" s="9"/>
      <c r="Z3" s="9"/>
      <c r="AA3" s="9"/>
    </row>
    <row r="4">
      <c r="A4" s="12"/>
      <c r="B4" s="13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2.6158E8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1.0577E8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/>
      <c r="AA5" s="9"/>
    </row>
    <row r="6">
      <c r="A6" s="17" t="s">
        <v>26</v>
      </c>
      <c r="B6" s="18">
        <v>-5.9667E7</v>
      </c>
      <c r="C6" s="19" t="s">
        <v>27</v>
      </c>
      <c r="D6" s="32" t="s">
        <v>287</v>
      </c>
      <c r="E6" s="31">
        <v>2.48985E8</v>
      </c>
      <c r="F6" s="30" t="s">
        <v>29</v>
      </c>
      <c r="G6" s="31" t="s">
        <v>337</v>
      </c>
      <c r="H6" s="31">
        <v>-6.5043E7</v>
      </c>
      <c r="I6" s="8"/>
      <c r="J6" s="32" t="s">
        <v>338</v>
      </c>
      <c r="K6" s="45" t="s">
        <v>169</v>
      </c>
      <c r="L6" s="34">
        <v>5.8</v>
      </c>
      <c r="M6" s="1"/>
      <c r="N6" s="22" t="s">
        <v>33</v>
      </c>
      <c r="O6" s="23">
        <v>8.351873E9</v>
      </c>
      <c r="P6" s="1"/>
      <c r="Q6" s="42" t="s">
        <v>34</v>
      </c>
      <c r="R6" s="42" t="s">
        <v>339</v>
      </c>
      <c r="S6" s="28" t="s">
        <v>340</v>
      </c>
      <c r="T6" s="134">
        <v>79.9</v>
      </c>
      <c r="U6" s="28">
        <v>2.168486E9</v>
      </c>
      <c r="V6" s="28">
        <v>1.18622E8</v>
      </c>
      <c r="W6" s="85">
        <v>98.4</v>
      </c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201913000</v>
      </c>
      <c r="C7" s="30" t="s">
        <v>27</v>
      </c>
      <c r="D7" s="31" t="s">
        <v>39</v>
      </c>
      <c r="E7" s="31">
        <v>9314000.0</v>
      </c>
      <c r="F7" s="30"/>
      <c r="G7" s="31"/>
      <c r="H7" s="31"/>
      <c r="I7" s="1"/>
      <c r="J7" s="32" t="s">
        <v>341</v>
      </c>
      <c r="K7" s="45" t="s">
        <v>42</v>
      </c>
      <c r="L7" s="41">
        <v>5.2</v>
      </c>
      <c r="M7" s="1"/>
      <c r="N7" s="42" t="s">
        <v>43</v>
      </c>
      <c r="O7" s="43">
        <f>sum(O5:O6)</f>
        <v>8457643000</v>
      </c>
      <c r="P7" s="1"/>
      <c r="Q7" s="42" t="s">
        <v>34</v>
      </c>
      <c r="R7" s="42" t="s">
        <v>339</v>
      </c>
      <c r="S7" s="28" t="s">
        <v>342</v>
      </c>
      <c r="T7" s="135"/>
      <c r="U7" s="62">
        <v>7.4E8</v>
      </c>
      <c r="V7" s="28">
        <v>3.4599E7</v>
      </c>
      <c r="W7" s="85">
        <v>99.3</v>
      </c>
      <c r="X7" s="1"/>
      <c r="Y7" s="17" t="s">
        <v>46</v>
      </c>
      <c r="Z7" s="28"/>
      <c r="AA7" s="9"/>
    </row>
    <row r="8">
      <c r="A8" s="17" t="s">
        <v>47</v>
      </c>
      <c r="B8" s="18">
        <v>-6.5043E7</v>
      </c>
      <c r="C8" s="30" t="s">
        <v>48</v>
      </c>
      <c r="D8" s="31" t="s">
        <v>301</v>
      </c>
      <c r="E8" s="31">
        <v>3281000.0</v>
      </c>
      <c r="F8" s="30"/>
      <c r="G8" s="31"/>
      <c r="H8" s="31"/>
      <c r="I8" s="1"/>
      <c r="J8" s="45" t="s">
        <v>343</v>
      </c>
      <c r="K8" s="33" t="s">
        <v>169</v>
      </c>
      <c r="L8" s="34">
        <v>3.4</v>
      </c>
      <c r="M8" s="1"/>
      <c r="N8" s="42" t="s">
        <v>51</v>
      </c>
      <c r="O8" s="23">
        <v>7.57132E8</v>
      </c>
      <c r="P8" s="1"/>
      <c r="Q8" s="42" t="s">
        <v>117</v>
      </c>
      <c r="R8" s="42" t="s">
        <v>339</v>
      </c>
      <c r="S8" s="28" t="s">
        <v>344</v>
      </c>
      <c r="T8" s="135">
        <v>50.0</v>
      </c>
      <c r="U8" s="62">
        <v>2.45228E8</v>
      </c>
      <c r="V8" s="28">
        <v>1.701E7</v>
      </c>
      <c r="W8" s="85">
        <v>95.3</v>
      </c>
      <c r="X8" s="1"/>
      <c r="Y8" s="17" t="s">
        <v>53</v>
      </c>
      <c r="Z8" s="46">
        <f>sum(Z5:Z7)</f>
        <v>0</v>
      </c>
      <c r="AA8" s="9"/>
    </row>
    <row r="9">
      <c r="A9" s="17" t="s">
        <v>54</v>
      </c>
      <c r="B9" s="40">
        <f>sum(B7:B8)</f>
        <v>136870000</v>
      </c>
      <c r="C9" s="19"/>
      <c r="D9" s="31"/>
      <c r="E9" s="31"/>
      <c r="F9" s="30"/>
      <c r="G9" s="31"/>
      <c r="H9" s="31"/>
      <c r="I9" s="1"/>
      <c r="J9" s="45" t="s">
        <v>345</v>
      </c>
      <c r="K9" s="45" t="s">
        <v>42</v>
      </c>
      <c r="L9" s="34">
        <v>2.7</v>
      </c>
      <c r="M9" s="1"/>
      <c r="N9" s="42" t="s">
        <v>58</v>
      </c>
      <c r="O9" s="23">
        <v>2.059296E9</v>
      </c>
      <c r="P9" s="1"/>
      <c r="Q9" s="42" t="s">
        <v>117</v>
      </c>
      <c r="R9" s="42" t="s">
        <v>339</v>
      </c>
      <c r="S9" s="28" t="s">
        <v>346</v>
      </c>
      <c r="T9" s="135">
        <v>50.0</v>
      </c>
      <c r="U9" s="62">
        <v>3.5636E8</v>
      </c>
      <c r="V9" s="28">
        <v>3.093E7</v>
      </c>
      <c r="W9" s="85">
        <v>100.0</v>
      </c>
      <c r="X9" s="1"/>
      <c r="Y9" s="9"/>
      <c r="Z9" s="9"/>
      <c r="AA9" s="9"/>
    </row>
    <row r="10">
      <c r="A10" s="17" t="s">
        <v>60</v>
      </c>
      <c r="B10" s="18">
        <v>-5932000.0</v>
      </c>
      <c r="C10" s="19"/>
      <c r="D10" s="31"/>
      <c r="E10" s="31"/>
      <c r="F10" s="30"/>
      <c r="G10" s="49"/>
      <c r="H10" s="31"/>
      <c r="I10" s="1"/>
      <c r="J10" s="33" t="s">
        <v>347</v>
      </c>
      <c r="K10" s="32" t="s">
        <v>63</v>
      </c>
      <c r="L10" s="34">
        <v>2.7</v>
      </c>
      <c r="M10" s="1"/>
      <c r="N10" s="42" t="s">
        <v>64</v>
      </c>
      <c r="O10" s="43">
        <f>sum(O8:O9)</f>
        <v>2816428000</v>
      </c>
      <c r="P10" s="1"/>
      <c r="Q10" s="42" t="s">
        <v>117</v>
      </c>
      <c r="R10" s="42" t="s">
        <v>339</v>
      </c>
      <c r="S10" s="28" t="s">
        <v>348</v>
      </c>
      <c r="T10" s="135"/>
      <c r="U10" s="62">
        <v>1.97978E8</v>
      </c>
      <c r="V10" s="28">
        <v>1.6606E7</v>
      </c>
      <c r="W10" s="85">
        <v>94.3</v>
      </c>
      <c r="X10" s="1"/>
      <c r="Y10" s="9"/>
      <c r="Z10" s="9"/>
      <c r="AA10" s="9"/>
    </row>
    <row r="11">
      <c r="A11" s="17" t="s">
        <v>67</v>
      </c>
      <c r="B11" s="40">
        <f>sum(B9:B10)</f>
        <v>130938000</v>
      </c>
      <c r="C11" s="19"/>
      <c r="D11" s="31"/>
      <c r="E11" s="31"/>
      <c r="F11" s="30"/>
      <c r="G11" s="31"/>
      <c r="H11" s="31"/>
      <c r="I11" s="1"/>
      <c r="J11" s="32" t="s">
        <v>349</v>
      </c>
      <c r="K11" s="45" t="s">
        <v>42</v>
      </c>
      <c r="L11" s="41">
        <v>2.7</v>
      </c>
      <c r="M11" s="9"/>
      <c r="N11" s="42" t="s">
        <v>70</v>
      </c>
      <c r="O11" s="43">
        <f>O7-O10</f>
        <v>5641215000</v>
      </c>
      <c r="P11" s="9"/>
      <c r="Q11" s="42" t="s">
        <v>117</v>
      </c>
      <c r="R11" s="42" t="s">
        <v>339</v>
      </c>
      <c r="S11" s="28" t="s">
        <v>350</v>
      </c>
      <c r="T11" s="135"/>
      <c r="U11" s="62">
        <v>2.23495E8</v>
      </c>
      <c r="V11" s="28">
        <v>7874000.0</v>
      </c>
      <c r="W11" s="85">
        <v>92.1</v>
      </c>
      <c r="X11" s="1"/>
      <c r="Y11" s="9"/>
      <c r="Z11" s="9"/>
      <c r="AA11" s="9"/>
    </row>
    <row r="12">
      <c r="A12" s="17" t="s">
        <v>72</v>
      </c>
      <c r="B12" s="50">
        <v>-1209000.0</v>
      </c>
      <c r="C12" s="19"/>
      <c r="D12" s="31"/>
      <c r="E12" s="31"/>
      <c r="F12" s="48"/>
      <c r="G12" s="49"/>
      <c r="H12" s="31"/>
      <c r="I12" s="1"/>
      <c r="J12" s="32" t="s">
        <v>351</v>
      </c>
      <c r="K12" s="32" t="s">
        <v>83</v>
      </c>
      <c r="L12" s="41">
        <v>2.6</v>
      </c>
      <c r="M12" s="9"/>
      <c r="N12" s="9"/>
      <c r="O12" s="9"/>
      <c r="P12" s="9"/>
      <c r="Q12" s="42" t="s">
        <v>117</v>
      </c>
      <c r="R12" s="42" t="s">
        <v>339</v>
      </c>
      <c r="S12" s="28" t="s">
        <v>352</v>
      </c>
      <c r="T12" s="135">
        <v>50.0</v>
      </c>
      <c r="U12" s="62">
        <v>3.23363E8</v>
      </c>
      <c r="V12" s="28">
        <v>1.6649E7</v>
      </c>
      <c r="W12" s="85">
        <v>91.4</v>
      </c>
      <c r="X12" s="1"/>
      <c r="Y12" s="9"/>
      <c r="Z12" s="9"/>
      <c r="AA12" s="9"/>
    </row>
    <row r="13">
      <c r="A13" s="17" t="s">
        <v>76</v>
      </c>
      <c r="B13" s="40">
        <f>SUM(B11:B12)</f>
        <v>129729000</v>
      </c>
      <c r="C13" s="19"/>
      <c r="D13" s="31"/>
      <c r="E13" s="31"/>
      <c r="F13" s="19"/>
      <c r="G13" s="47"/>
      <c r="H13" s="47"/>
      <c r="I13" s="1"/>
      <c r="J13" s="32" t="s">
        <v>353</v>
      </c>
      <c r="K13" s="33" t="s">
        <v>165</v>
      </c>
      <c r="L13" s="41">
        <v>2.3</v>
      </c>
      <c r="M13" s="9"/>
      <c r="N13" s="42" t="s">
        <v>79</v>
      </c>
      <c r="O13" s="51">
        <f>O5-O8</f>
        <v>-651362000</v>
      </c>
      <c r="P13" s="9"/>
      <c r="Q13" s="42" t="s">
        <v>210</v>
      </c>
      <c r="R13" s="42" t="s">
        <v>339</v>
      </c>
      <c r="S13" s="28" t="s">
        <v>354</v>
      </c>
      <c r="T13" s="134">
        <v>99.4</v>
      </c>
      <c r="U13" s="68">
        <v>2.80907E8</v>
      </c>
      <c r="V13" s="28">
        <v>1.6467E7</v>
      </c>
      <c r="W13" s="85">
        <v>100.0</v>
      </c>
      <c r="X13" s="1"/>
      <c r="Y13" s="9"/>
      <c r="Z13" s="9"/>
      <c r="AA13" s="9"/>
    </row>
    <row r="14">
      <c r="A14" s="17" t="s">
        <v>81</v>
      </c>
      <c r="B14" s="50">
        <v>-2.1284E7</v>
      </c>
      <c r="C14" s="30"/>
      <c r="D14" s="32"/>
      <c r="E14" s="18"/>
      <c r="F14" s="19"/>
      <c r="G14" s="47"/>
      <c r="H14" s="47"/>
      <c r="I14" s="1"/>
      <c r="J14" s="32" t="s">
        <v>355</v>
      </c>
      <c r="K14" s="45" t="s">
        <v>169</v>
      </c>
      <c r="L14" s="41">
        <v>2.0</v>
      </c>
      <c r="M14" s="9"/>
      <c r="P14" s="9"/>
      <c r="Q14" s="42" t="s">
        <v>199</v>
      </c>
      <c r="R14" s="42" t="s">
        <v>339</v>
      </c>
      <c r="S14" s="28" t="s">
        <v>356</v>
      </c>
      <c r="T14" s="135">
        <v>98.5</v>
      </c>
      <c r="U14" s="62">
        <v>8.6469E7</v>
      </c>
      <c r="V14" s="28">
        <v>2823000.0</v>
      </c>
      <c r="W14" s="85">
        <v>100.0</v>
      </c>
      <c r="X14" s="1"/>
      <c r="Y14" s="9"/>
      <c r="Z14" s="9"/>
      <c r="AA14" s="9"/>
    </row>
    <row r="15">
      <c r="A15" s="42" t="s">
        <v>85</v>
      </c>
      <c r="B15" s="50">
        <v>-9476000.0</v>
      </c>
      <c r="C15" s="19"/>
      <c r="D15" s="31"/>
      <c r="E15" s="31"/>
      <c r="F15" s="19"/>
      <c r="G15" s="47"/>
      <c r="H15" s="47"/>
      <c r="I15" s="1"/>
      <c r="J15" s="32" t="s">
        <v>324</v>
      </c>
      <c r="K15" s="45" t="s">
        <v>42</v>
      </c>
      <c r="L15" s="41">
        <v>1.9</v>
      </c>
      <c r="M15" s="1"/>
      <c r="N15" s="8" t="s">
        <v>87</v>
      </c>
      <c r="O15" s="9"/>
      <c r="P15" s="1"/>
      <c r="Q15" s="42" t="s">
        <v>117</v>
      </c>
      <c r="R15" s="42" t="s">
        <v>339</v>
      </c>
      <c r="S15" s="28" t="s">
        <v>357</v>
      </c>
      <c r="T15" s="134">
        <v>50.0</v>
      </c>
      <c r="U15" s="68">
        <v>1.85219E8</v>
      </c>
      <c r="V15" s="28">
        <v>8686000.0</v>
      </c>
      <c r="W15" s="85">
        <v>100.0</v>
      </c>
      <c r="X15" s="1"/>
      <c r="Y15" s="9"/>
      <c r="Z15" s="9"/>
      <c r="AA15" s="9"/>
    </row>
    <row r="16">
      <c r="A16" s="42" t="s">
        <v>89</v>
      </c>
      <c r="B16" s="40">
        <f>SUM(B13:B15)</f>
        <v>98969000</v>
      </c>
      <c r="C16" s="19"/>
      <c r="D16" s="31"/>
      <c r="E16" s="31"/>
      <c r="F16" s="19"/>
      <c r="G16" s="47"/>
      <c r="H16" s="47"/>
      <c r="I16" s="1"/>
      <c r="J16" s="53" t="s">
        <v>90</v>
      </c>
      <c r="K16" s="53"/>
      <c r="L16" s="54">
        <f>SUM(L6:L15)</f>
        <v>31.3</v>
      </c>
      <c r="M16" s="1"/>
      <c r="N16" s="42" t="s">
        <v>91</v>
      </c>
      <c r="O16" s="23">
        <v>1.88989E8</v>
      </c>
      <c r="P16" s="1"/>
      <c r="Q16" s="42" t="s">
        <v>117</v>
      </c>
      <c r="R16" s="42" t="s">
        <v>339</v>
      </c>
      <c r="S16" s="28" t="s">
        <v>358</v>
      </c>
      <c r="T16" s="135">
        <v>50.0</v>
      </c>
      <c r="U16" s="62">
        <v>2.09416E8</v>
      </c>
      <c r="V16" s="28">
        <v>1.4994E7</v>
      </c>
      <c r="W16" s="85">
        <v>100.0</v>
      </c>
      <c r="X16" s="1"/>
      <c r="Y16" s="9"/>
      <c r="Z16" s="9"/>
      <c r="AA16" s="9"/>
    </row>
    <row r="17">
      <c r="A17" s="17" t="s">
        <v>93</v>
      </c>
      <c r="B17" s="81">
        <v>-8.8546E7</v>
      </c>
      <c r="C17" s="19"/>
      <c r="D17" s="32"/>
      <c r="E17" s="18"/>
      <c r="F17" s="19"/>
      <c r="G17" s="47"/>
      <c r="H17" s="47"/>
      <c r="I17" s="1"/>
      <c r="J17" s="1"/>
      <c r="K17" s="1"/>
      <c r="L17" s="1"/>
      <c r="M17" s="9"/>
      <c r="N17" s="42" t="s">
        <v>94</v>
      </c>
      <c r="O17" s="55">
        <v>-2.50917E8</v>
      </c>
      <c r="P17" s="1"/>
      <c r="Q17" s="42" t="s">
        <v>34</v>
      </c>
      <c r="R17" s="42" t="s">
        <v>339</v>
      </c>
      <c r="S17" s="28" t="s">
        <v>332</v>
      </c>
      <c r="T17" s="135">
        <v>33.33</v>
      </c>
      <c r="U17" s="62">
        <v>1.3167E9</v>
      </c>
      <c r="V17" s="28">
        <v>4.5249E7</v>
      </c>
      <c r="W17" s="85">
        <v>98.7</v>
      </c>
      <c r="X17" s="1"/>
      <c r="Y17" s="9"/>
      <c r="Z17" s="9"/>
      <c r="AA17" s="9"/>
    </row>
    <row r="18">
      <c r="A18" s="17" t="s">
        <v>96</v>
      </c>
      <c r="B18" s="56">
        <f>B9</f>
        <v>136870000</v>
      </c>
      <c r="C18" s="19"/>
      <c r="D18" s="47"/>
      <c r="E18" s="47"/>
      <c r="F18" s="19"/>
      <c r="G18" s="47"/>
      <c r="H18" s="47"/>
      <c r="I18" s="1"/>
      <c r="J18" s="14" t="s">
        <v>97</v>
      </c>
      <c r="K18" s="15"/>
      <c r="L18" s="16"/>
      <c r="M18" s="1"/>
      <c r="N18" s="42" t="s">
        <v>98</v>
      </c>
      <c r="O18" s="55">
        <v>2152000.0</v>
      </c>
      <c r="P18" s="1"/>
      <c r="Q18" s="42" t="s">
        <v>34</v>
      </c>
      <c r="R18" s="42" t="s">
        <v>339</v>
      </c>
      <c r="S18" s="28" t="s">
        <v>359</v>
      </c>
      <c r="T18" s="135">
        <v>33.33</v>
      </c>
      <c r="U18" s="62">
        <v>3.198E9</v>
      </c>
      <c r="V18" s="28">
        <v>1.07186E8</v>
      </c>
      <c r="W18" s="85">
        <v>98.8</v>
      </c>
      <c r="X18" s="1"/>
      <c r="Y18" s="9"/>
      <c r="Z18" s="9"/>
      <c r="AA18" s="9"/>
    </row>
    <row r="19">
      <c r="A19" s="17" t="s">
        <v>100</v>
      </c>
      <c r="B19" s="81">
        <f>-21000-43479000</f>
        <v>-43500000</v>
      </c>
      <c r="C19" s="19"/>
      <c r="D19" s="47"/>
      <c r="E19" s="47"/>
      <c r="F19" s="19"/>
      <c r="G19" s="47"/>
      <c r="H19" s="47"/>
      <c r="I19" s="1"/>
      <c r="J19" s="45" t="s">
        <v>42</v>
      </c>
      <c r="K19" s="32"/>
      <c r="L19" s="129">
        <v>34.9</v>
      </c>
      <c r="M19" s="1"/>
      <c r="N19" s="42" t="s">
        <v>101</v>
      </c>
      <c r="O19" s="43">
        <f>sum(O16:O18)</f>
        <v>-59776000</v>
      </c>
      <c r="P19" s="1"/>
      <c r="Q19" s="42"/>
      <c r="R19" s="42"/>
      <c r="S19" s="28"/>
      <c r="T19" s="135"/>
      <c r="U19" s="62"/>
      <c r="V19" s="28"/>
      <c r="W19" s="85"/>
      <c r="X19" s="1"/>
      <c r="Y19" s="9"/>
      <c r="Z19" s="9"/>
      <c r="AA19" s="9"/>
    </row>
    <row r="20">
      <c r="A20" s="17" t="s">
        <v>103</v>
      </c>
      <c r="B20" s="56">
        <f>B11-B17-B19</f>
        <v>262984000</v>
      </c>
      <c r="C20" s="30"/>
      <c r="D20" s="47"/>
      <c r="E20" s="47"/>
      <c r="F20" s="19"/>
      <c r="G20" s="47"/>
      <c r="H20" s="47"/>
      <c r="I20" s="1"/>
      <c r="J20" s="32" t="s">
        <v>165</v>
      </c>
      <c r="K20" s="44"/>
      <c r="L20" s="130">
        <v>14.0</v>
      </c>
      <c r="M20" s="1"/>
      <c r="N20" s="57"/>
      <c r="O20" s="9"/>
      <c r="P20" s="1"/>
      <c r="Q20" s="42"/>
      <c r="R20" s="42"/>
      <c r="S20" s="28"/>
      <c r="T20" s="62"/>
      <c r="U20" s="62"/>
      <c r="V20" s="62"/>
      <c r="W20" s="85"/>
      <c r="X20" s="1"/>
      <c r="Y20" s="9"/>
      <c r="Z20" s="9"/>
      <c r="AA20" s="9"/>
    </row>
    <row r="21">
      <c r="A21" s="42" t="s">
        <v>105</v>
      </c>
      <c r="B21" s="28"/>
      <c r="C21" s="19"/>
      <c r="D21" s="47"/>
      <c r="E21" s="47"/>
      <c r="F21" s="19"/>
      <c r="G21" s="47"/>
      <c r="H21" s="47"/>
      <c r="I21" s="1"/>
      <c r="J21" s="45" t="s">
        <v>169</v>
      </c>
      <c r="K21" s="44"/>
      <c r="L21" s="129">
        <v>13.3</v>
      </c>
      <c r="M21" s="1"/>
      <c r="P21" s="1"/>
      <c r="Q21" s="42"/>
      <c r="R21" s="42"/>
      <c r="S21" s="28"/>
      <c r="T21" s="62"/>
      <c r="U21" s="62"/>
      <c r="V21" s="28"/>
      <c r="W21" s="85"/>
      <c r="X21" s="1"/>
      <c r="Y21" s="9"/>
      <c r="Z21" s="9"/>
      <c r="AA21" s="9"/>
    </row>
    <row r="22">
      <c r="A22" s="42" t="s">
        <v>107</v>
      </c>
      <c r="B22" s="56">
        <f>B13-B19-B21</f>
        <v>173229000</v>
      </c>
      <c r="C22" s="19"/>
      <c r="D22" s="47"/>
      <c r="E22" s="47"/>
      <c r="F22" s="19"/>
      <c r="G22" s="47"/>
      <c r="H22" s="47"/>
      <c r="I22" s="1"/>
      <c r="J22" s="45" t="s">
        <v>360</v>
      </c>
      <c r="K22" s="44"/>
      <c r="L22" s="129">
        <v>7.6</v>
      </c>
      <c r="M22" s="1"/>
      <c r="Q22" s="42"/>
      <c r="R22" s="42"/>
      <c r="S22" s="28"/>
      <c r="T22" s="62"/>
      <c r="U22" s="62"/>
      <c r="V22" s="28"/>
      <c r="W22" s="85"/>
      <c r="X22" s="1"/>
      <c r="Y22" s="9"/>
      <c r="Z22" s="9"/>
      <c r="AA22" s="9"/>
    </row>
    <row r="23">
      <c r="A23" s="9"/>
      <c r="B23" s="9"/>
      <c r="C23" s="19"/>
      <c r="D23" s="47"/>
      <c r="E23" s="47"/>
      <c r="F23" s="19"/>
      <c r="G23" s="47"/>
      <c r="H23" s="47"/>
      <c r="I23" s="1"/>
      <c r="J23" s="33" t="s">
        <v>181</v>
      </c>
      <c r="K23" s="44"/>
      <c r="L23" s="129">
        <v>7.1</v>
      </c>
      <c r="M23" s="1"/>
      <c r="Q23" s="42"/>
      <c r="R23" s="42"/>
      <c r="S23" s="28"/>
      <c r="T23" s="68"/>
      <c r="U23" s="68"/>
      <c r="V23" s="28"/>
      <c r="W23" s="85"/>
      <c r="X23" s="1"/>
      <c r="Y23" s="9"/>
      <c r="Z23" s="9"/>
      <c r="AA23" s="9"/>
    </row>
    <row r="24">
      <c r="A24" s="9"/>
      <c r="B24" s="9"/>
      <c r="C24" s="19"/>
      <c r="D24" s="47"/>
      <c r="E24" s="47"/>
      <c r="F24" s="19"/>
      <c r="G24" s="47"/>
      <c r="H24" s="47"/>
      <c r="I24" s="1"/>
      <c r="J24" s="32" t="s">
        <v>83</v>
      </c>
      <c r="K24" s="44"/>
      <c r="L24" s="130">
        <v>11.9</v>
      </c>
      <c r="M24" s="1"/>
      <c r="Q24" s="42"/>
      <c r="R24" s="42"/>
      <c r="S24" s="28"/>
      <c r="T24" s="68"/>
      <c r="U24" s="68"/>
      <c r="V24" s="28"/>
      <c r="W24" s="85"/>
      <c r="X24" s="1"/>
      <c r="Y24" s="9"/>
      <c r="Z24" s="9"/>
      <c r="AA24" s="9"/>
    </row>
    <row r="25">
      <c r="A25" s="9"/>
      <c r="C25" s="19"/>
      <c r="D25" s="47"/>
      <c r="E25" s="47"/>
      <c r="F25" s="19"/>
      <c r="G25" s="47"/>
      <c r="H25" s="47"/>
      <c r="I25" s="1"/>
      <c r="J25" s="32" t="s">
        <v>63</v>
      </c>
      <c r="K25" s="44"/>
      <c r="L25" s="130">
        <v>6.5</v>
      </c>
      <c r="M25" s="1"/>
      <c r="Q25" s="42"/>
      <c r="R25" s="42"/>
      <c r="S25" s="28"/>
      <c r="T25" s="62"/>
      <c r="U25" s="62"/>
      <c r="V25" s="28"/>
      <c r="W25" s="85"/>
      <c r="X25" s="1"/>
      <c r="Y25" s="9"/>
      <c r="Z25" s="9"/>
      <c r="AA25" s="9"/>
    </row>
    <row r="26">
      <c r="A26" s="1"/>
      <c r="B26" s="57"/>
      <c r="C26" s="19"/>
      <c r="D26" s="47"/>
      <c r="E26" s="47"/>
      <c r="F26" s="19"/>
      <c r="G26" s="47"/>
      <c r="H26" s="47"/>
      <c r="I26" s="1"/>
      <c r="J26" s="32" t="s">
        <v>74</v>
      </c>
      <c r="K26" s="44"/>
      <c r="L26" s="130">
        <v>1.9</v>
      </c>
      <c r="M26" s="1"/>
      <c r="N26" s="9"/>
      <c r="O26" s="9"/>
      <c r="X26" s="1"/>
      <c r="Y26" s="9"/>
      <c r="Z26" s="9"/>
      <c r="AA26" s="9"/>
    </row>
    <row r="27">
      <c r="A27" s="1"/>
      <c r="B27" s="57"/>
      <c r="C27" s="19"/>
      <c r="D27" s="47"/>
      <c r="E27" s="47"/>
      <c r="F27" s="19"/>
      <c r="G27" s="47"/>
      <c r="H27" s="47"/>
      <c r="I27" s="1"/>
      <c r="J27" s="32" t="s">
        <v>46</v>
      </c>
      <c r="K27" s="44"/>
      <c r="L27" s="130">
        <v>2.8</v>
      </c>
      <c r="M27" s="1"/>
      <c r="N27" s="9"/>
      <c r="O27" s="9"/>
      <c r="P27" s="1"/>
      <c r="Q27" s="58" t="s">
        <v>114</v>
      </c>
      <c r="R27" s="15"/>
      <c r="S27" s="15"/>
      <c r="T27" s="15"/>
      <c r="U27" s="15"/>
      <c r="V27" s="15"/>
      <c r="W27" s="16"/>
      <c r="X27" s="1"/>
      <c r="Y27" s="9"/>
      <c r="Z27" s="9"/>
      <c r="AA27" s="9"/>
    </row>
    <row r="28">
      <c r="A28" s="1"/>
      <c r="B28" s="57"/>
      <c r="C28" s="19"/>
      <c r="D28" s="47"/>
      <c r="E28" s="47"/>
      <c r="F28" s="19"/>
      <c r="G28" s="47"/>
      <c r="H28" s="47"/>
      <c r="I28" s="1"/>
      <c r="J28" s="32"/>
      <c r="K28" s="44"/>
      <c r="L28" s="130"/>
      <c r="M28" s="57"/>
      <c r="N28" s="9"/>
      <c r="O28" s="9"/>
      <c r="P28" s="57"/>
      <c r="Q28" s="59" t="s">
        <v>18</v>
      </c>
      <c r="R28" s="59" t="s">
        <v>19</v>
      </c>
      <c r="S28" s="59"/>
      <c r="T28" s="60" t="s">
        <v>115</v>
      </c>
      <c r="U28" s="60" t="s">
        <v>22</v>
      </c>
      <c r="V28" s="59" t="s">
        <v>23</v>
      </c>
      <c r="W28" s="61" t="s">
        <v>24</v>
      </c>
      <c r="X28" s="1"/>
      <c r="Y28" s="9"/>
      <c r="Z28" s="9"/>
      <c r="AA28" s="9"/>
    </row>
    <row r="29">
      <c r="A29" s="1"/>
      <c r="B29" s="1"/>
      <c r="C29" s="19"/>
      <c r="D29" s="47"/>
      <c r="E29" s="47"/>
      <c r="F29" s="19"/>
      <c r="G29" s="47"/>
      <c r="H29" s="47"/>
      <c r="I29" s="1"/>
      <c r="J29" s="53" t="s">
        <v>90</v>
      </c>
      <c r="K29" s="53"/>
      <c r="L29" s="131">
        <f>SUM(L19:L28)</f>
        <v>100</v>
      </c>
      <c r="M29" s="57"/>
      <c r="N29" s="9"/>
      <c r="O29" s="9"/>
      <c r="P29" s="57"/>
      <c r="Q29" s="42" t="s">
        <v>34</v>
      </c>
      <c r="R29" s="42" t="s">
        <v>339</v>
      </c>
      <c r="S29" s="28"/>
      <c r="T29" s="62">
        <v>4.0</v>
      </c>
      <c r="U29" s="62">
        <v>7.423186E9</v>
      </c>
      <c r="V29" s="28">
        <v>3.05656E8</v>
      </c>
      <c r="W29" s="85">
        <v>98.8</v>
      </c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4">
        <f>SUM(E6:E29)</f>
        <v>261580000</v>
      </c>
      <c r="F30" s="19"/>
      <c r="G30" s="19" t="s">
        <v>90</v>
      </c>
      <c r="H30" s="64">
        <f>SUM(H6:H29)</f>
        <v>-65043000</v>
      </c>
      <c r="I30" s="1"/>
      <c r="J30" s="1"/>
      <c r="K30" s="1"/>
      <c r="L30" s="1"/>
      <c r="M30" s="57"/>
      <c r="N30" s="9"/>
      <c r="O30" s="9"/>
      <c r="P30" s="57"/>
      <c r="Q30" s="42" t="s">
        <v>117</v>
      </c>
      <c r="R30" s="42" t="s">
        <v>339</v>
      </c>
      <c r="S30" s="28"/>
      <c r="T30" s="62">
        <v>7.0</v>
      </c>
      <c r="U30" s="114">
        <v>1.741059E9</v>
      </c>
      <c r="V30" s="114">
        <v>1.12749E8</v>
      </c>
      <c r="W30" s="117">
        <v>96.2</v>
      </c>
      <c r="X30" s="1"/>
      <c r="Y30" s="9"/>
      <c r="Z30" s="9"/>
      <c r="AA30" s="9"/>
    </row>
    <row r="31">
      <c r="A31" s="1"/>
      <c r="B31" s="1"/>
      <c r="C31" s="19"/>
      <c r="D31" s="65" t="s">
        <v>116</v>
      </c>
      <c r="E31" s="66" t="str">
        <f>IF(B5=E30, "True", "False")</f>
        <v>True</v>
      </c>
      <c r="F31" s="19"/>
      <c r="G31" s="65" t="s">
        <v>116</v>
      </c>
      <c r="H31" s="66" t="str">
        <f>IF(B8=H30, "True", "False")</f>
        <v>True</v>
      </c>
      <c r="I31" s="1"/>
      <c r="J31" s="1"/>
      <c r="K31" s="1"/>
      <c r="L31" s="1"/>
      <c r="M31" s="57"/>
      <c r="N31" s="9"/>
      <c r="O31" s="9"/>
      <c r="P31" s="57"/>
      <c r="Q31" s="42" t="s">
        <v>210</v>
      </c>
      <c r="R31" s="42" t="s">
        <v>339</v>
      </c>
      <c r="S31" s="28"/>
      <c r="T31" s="62">
        <v>1.0</v>
      </c>
      <c r="U31" s="62">
        <v>2.80907E8</v>
      </c>
      <c r="V31" s="28">
        <v>1.6467E7</v>
      </c>
      <c r="W31" s="85">
        <v>100.0</v>
      </c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7"/>
      <c r="N32" s="9"/>
      <c r="O32" s="9"/>
      <c r="P32" s="9"/>
      <c r="Q32" s="42" t="s">
        <v>199</v>
      </c>
      <c r="R32" s="42" t="s">
        <v>339</v>
      </c>
      <c r="S32" s="28"/>
      <c r="T32" s="62">
        <v>1.0</v>
      </c>
      <c r="U32" s="62">
        <v>8.6469E7</v>
      </c>
      <c r="V32" s="28">
        <v>2823000.0</v>
      </c>
      <c r="W32" s="85">
        <v>100.0</v>
      </c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42"/>
      <c r="R33" s="42"/>
      <c r="S33" s="28"/>
      <c r="T33" s="62"/>
      <c r="U33" s="62"/>
      <c r="V33" s="28"/>
      <c r="W33" s="85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42"/>
      <c r="R34" s="42"/>
      <c r="S34" s="28"/>
      <c r="T34" s="62"/>
      <c r="U34" s="62"/>
      <c r="V34" s="28"/>
      <c r="W34" s="85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42"/>
      <c r="R35" s="42"/>
      <c r="S35" s="28"/>
      <c r="T35" s="62"/>
      <c r="U35" s="62"/>
      <c r="V35" s="28"/>
      <c r="W35" s="85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67"/>
      <c r="P36" s="9"/>
      <c r="Q36" s="42"/>
      <c r="R36" s="42"/>
      <c r="S36" s="28"/>
      <c r="T36" s="62"/>
      <c r="U36" s="86"/>
      <c r="V36" s="72"/>
      <c r="W36" s="87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 t="s">
        <v>119</v>
      </c>
      <c r="O37" s="42"/>
      <c r="P37" s="1"/>
      <c r="Q37" s="42"/>
      <c r="R37" s="42"/>
      <c r="S37" s="28"/>
      <c r="T37" s="62"/>
      <c r="U37" s="62"/>
      <c r="V37" s="28"/>
      <c r="W37" s="85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 t="s">
        <v>120</v>
      </c>
      <c r="O38" s="42"/>
      <c r="P38" s="1"/>
      <c r="Q38" s="42"/>
      <c r="R38" s="42"/>
      <c r="S38" s="28"/>
      <c r="T38" s="62"/>
      <c r="U38" s="62"/>
      <c r="V38" s="28"/>
      <c r="W38" s="85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 t="s">
        <v>121</v>
      </c>
      <c r="O39" s="42"/>
      <c r="P39" s="1"/>
      <c r="Q39" s="42"/>
      <c r="R39" s="42"/>
      <c r="S39" s="28"/>
      <c r="T39" s="62"/>
      <c r="U39" s="62"/>
      <c r="V39" s="28"/>
      <c r="W39" s="85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 t="s">
        <v>122</v>
      </c>
      <c r="O40" s="28">
        <f>320835000+13000+14511000</f>
        <v>335359000</v>
      </c>
      <c r="P40" s="8"/>
      <c r="Q40" s="42"/>
      <c r="R40" s="42"/>
      <c r="S40" s="28"/>
      <c r="T40" s="68"/>
      <c r="U40" s="68"/>
      <c r="V40" s="28"/>
      <c r="W40" s="85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9" t="s">
        <v>90</v>
      </c>
      <c r="T41" s="70">
        <f t="shared" ref="T41:V41" si="1">sum(T29:T40)</f>
        <v>13</v>
      </c>
      <c r="U41" s="70">
        <f t="shared" si="1"/>
        <v>9531621000</v>
      </c>
      <c r="V41" s="70">
        <f t="shared" si="1"/>
        <v>437695000</v>
      </c>
      <c r="W41" s="4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"/>
      <c r="O42" s="8" t="s">
        <v>123</v>
      </c>
      <c r="P42" s="1"/>
      <c r="Q42" s="1"/>
      <c r="R42" s="1"/>
      <c r="S42" s="1"/>
      <c r="T42" s="1"/>
      <c r="U42" s="1"/>
      <c r="V42" s="1"/>
      <c r="W42" s="79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10" t="s">
        <v>124</v>
      </c>
      <c r="O43" s="72">
        <v>3.819238E9</v>
      </c>
      <c r="P43" s="1"/>
      <c r="Q43" s="1"/>
      <c r="R43" s="1"/>
      <c r="S43" s="1"/>
      <c r="T43" s="1"/>
      <c r="U43" s="1"/>
      <c r="V43" s="1"/>
      <c r="W43" s="79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12" t="s">
        <v>125</v>
      </c>
      <c r="O44" s="72">
        <v>3.830595E9</v>
      </c>
      <c r="P44" s="1"/>
      <c r="Q44" s="1"/>
      <c r="R44" s="1"/>
      <c r="S44" s="1"/>
      <c r="T44" s="8"/>
      <c r="U44" s="8"/>
      <c r="V44" s="1"/>
      <c r="W44" s="79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98" t="s">
        <v>126</v>
      </c>
      <c r="O45" s="75">
        <v>3.24479E8</v>
      </c>
      <c r="P45" s="1"/>
      <c r="Q45" s="1"/>
      <c r="R45" s="1"/>
      <c r="W45" s="79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99" t="s">
        <v>127</v>
      </c>
      <c r="O46" s="75">
        <v>2.14547E8</v>
      </c>
      <c r="P46" s="1"/>
      <c r="Q46" s="1"/>
      <c r="R46" s="1"/>
      <c r="S46" s="1"/>
      <c r="T46" s="1"/>
      <c r="U46" s="1"/>
      <c r="V46" s="1"/>
      <c r="W46" s="79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9" t="s">
        <v>128</v>
      </c>
      <c r="O47" s="75">
        <v>2.16608E8</v>
      </c>
      <c r="P47" s="1"/>
      <c r="Q47" s="1"/>
      <c r="R47" s="1"/>
      <c r="S47" s="1"/>
      <c r="T47" s="1"/>
      <c r="U47" s="1"/>
      <c r="V47" s="1"/>
      <c r="W47" s="79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99" t="s">
        <v>129</v>
      </c>
      <c r="O48" s="75">
        <v>1.07871E8</v>
      </c>
      <c r="P48" s="1"/>
      <c r="Q48" s="1"/>
      <c r="R48" s="1"/>
      <c r="S48" s="1"/>
      <c r="T48" s="1"/>
      <c r="U48" s="1"/>
      <c r="V48" s="1"/>
      <c r="W48" s="79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130</v>
      </c>
      <c r="O49" s="75">
        <v>3.844046E9</v>
      </c>
      <c r="R49" s="1"/>
      <c r="S49" s="1"/>
      <c r="T49" s="1"/>
      <c r="U49" s="1"/>
      <c r="V49" s="1"/>
      <c r="W49" s="79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N50" s="77" t="s">
        <v>131</v>
      </c>
      <c r="O50" s="78">
        <v>0.0</v>
      </c>
      <c r="R50" s="1"/>
      <c r="S50" s="1"/>
      <c r="T50" s="1"/>
      <c r="U50" s="1"/>
      <c r="V50" s="1"/>
      <c r="W50" s="79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R51" s="1"/>
      <c r="S51" s="1"/>
      <c r="T51" s="1"/>
      <c r="U51" s="1"/>
      <c r="V51" s="1"/>
      <c r="W51" s="79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R52" s="1"/>
      <c r="S52" s="1"/>
      <c r="T52" s="1"/>
      <c r="U52" s="1"/>
      <c r="V52" s="1"/>
      <c r="W52" s="79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R53" s="1"/>
      <c r="S53" s="1"/>
      <c r="T53" s="1"/>
      <c r="U53" s="1"/>
      <c r="V53" s="1"/>
      <c r="W53" s="79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R54" s="1"/>
      <c r="S54" s="1"/>
      <c r="T54" s="1"/>
      <c r="U54" s="1"/>
      <c r="V54" s="1"/>
      <c r="W54" s="79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R55" s="1"/>
      <c r="S55" s="1"/>
      <c r="T55" s="1"/>
      <c r="U55" s="1"/>
      <c r="V55" s="1"/>
      <c r="W55" s="79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R56" s="1"/>
      <c r="S56" s="1"/>
      <c r="T56" s="1"/>
      <c r="U56" s="1"/>
      <c r="V56" s="1"/>
      <c r="W56" s="79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R57" s="1"/>
      <c r="S57" s="1"/>
      <c r="T57" s="1"/>
      <c r="U57" s="1"/>
      <c r="V57" s="1"/>
      <c r="W57" s="79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R58" s="1"/>
      <c r="S58" s="1"/>
      <c r="T58" s="1"/>
      <c r="U58" s="1"/>
      <c r="V58" s="1"/>
      <c r="W58" s="79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R59" s="1"/>
      <c r="S59" s="1"/>
      <c r="T59" s="1"/>
      <c r="U59" s="1"/>
      <c r="V59" s="1"/>
      <c r="W59" s="79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R60" s="1"/>
      <c r="S60" s="1"/>
      <c r="T60" s="1"/>
      <c r="U60" s="1"/>
      <c r="V60" s="1"/>
      <c r="W60" s="79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R61" s="1"/>
      <c r="S61" s="1"/>
      <c r="T61" s="1"/>
      <c r="U61" s="1"/>
      <c r="V61" s="1"/>
      <c r="W61" s="79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R62" s="1"/>
      <c r="S62" s="1"/>
      <c r="T62" s="1"/>
      <c r="U62" s="1"/>
      <c r="V62" s="1"/>
      <c r="W62" s="79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R63" s="1"/>
      <c r="S63" s="1"/>
      <c r="T63" s="1"/>
      <c r="U63" s="1"/>
      <c r="V63" s="1"/>
      <c r="W63" s="79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R64" s="1"/>
      <c r="S64" s="1"/>
      <c r="T64" s="1"/>
      <c r="U64" s="1"/>
      <c r="V64" s="1"/>
      <c r="W64" s="79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R65" s="1"/>
      <c r="S65" s="1"/>
      <c r="T65" s="1"/>
      <c r="U65" s="1"/>
      <c r="V65" s="1"/>
      <c r="W65" s="79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R66" s="1"/>
      <c r="S66" s="1"/>
      <c r="T66" s="1"/>
      <c r="U66" s="1"/>
      <c r="V66" s="1"/>
      <c r="W66" s="79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R67" s="1"/>
      <c r="S67" s="1"/>
      <c r="T67" s="1"/>
      <c r="U67" s="1"/>
      <c r="V67" s="1"/>
      <c r="W67" s="79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R68" s="1"/>
      <c r="S68" s="1"/>
      <c r="T68" s="1"/>
      <c r="U68" s="1"/>
      <c r="V68" s="1"/>
      <c r="W68" s="79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R69" s="1"/>
      <c r="S69" s="1"/>
      <c r="T69" s="1"/>
      <c r="U69" s="1"/>
      <c r="V69" s="1"/>
      <c r="W69" s="79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R70" s="1"/>
      <c r="S70" s="1"/>
      <c r="T70" s="1"/>
      <c r="U70" s="1"/>
      <c r="V70" s="1"/>
      <c r="W70" s="79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R71" s="1"/>
      <c r="S71" s="1"/>
      <c r="T71" s="1"/>
      <c r="U71" s="1"/>
      <c r="V71" s="1"/>
      <c r="W71" s="79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R72" s="1"/>
      <c r="S72" s="1"/>
      <c r="T72" s="1"/>
      <c r="U72" s="1"/>
      <c r="V72" s="1"/>
      <c r="W72" s="79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R73" s="1"/>
      <c r="S73" s="1"/>
      <c r="T73" s="1"/>
      <c r="U73" s="1"/>
      <c r="V73" s="1"/>
      <c r="W73" s="79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R74" s="1"/>
      <c r="S74" s="1"/>
      <c r="T74" s="1"/>
      <c r="U74" s="1"/>
      <c r="V74" s="1"/>
      <c r="W74" s="79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R75" s="1"/>
      <c r="S75" s="1"/>
      <c r="T75" s="1"/>
      <c r="U75" s="1"/>
      <c r="V75" s="1"/>
      <c r="W75" s="79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R76" s="1"/>
      <c r="S76" s="1"/>
      <c r="T76" s="1"/>
      <c r="U76" s="1"/>
      <c r="V76" s="1"/>
      <c r="W76" s="79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R77" s="1"/>
      <c r="S77" s="1"/>
      <c r="T77" s="1"/>
      <c r="U77" s="1"/>
      <c r="V77" s="1"/>
      <c r="W77" s="79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R78" s="1"/>
      <c r="S78" s="1"/>
      <c r="T78" s="1"/>
      <c r="U78" s="1"/>
      <c r="V78" s="1"/>
      <c r="W78" s="79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R79" s="1"/>
      <c r="S79" s="1"/>
      <c r="T79" s="1"/>
      <c r="U79" s="1"/>
      <c r="V79" s="1"/>
      <c r="W79" s="79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R80" s="1"/>
      <c r="S80" s="1"/>
      <c r="T80" s="1"/>
      <c r="U80" s="1"/>
      <c r="V80" s="1"/>
      <c r="W80" s="79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R81" s="1"/>
      <c r="S81" s="1"/>
      <c r="T81" s="1"/>
      <c r="U81" s="1"/>
      <c r="V81" s="1"/>
      <c r="W81" s="79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R82" s="1"/>
      <c r="S82" s="1"/>
      <c r="T82" s="1"/>
      <c r="U82" s="1"/>
      <c r="V82" s="1"/>
      <c r="W82" s="79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R83" s="1"/>
      <c r="S83" s="1"/>
      <c r="T83" s="1"/>
      <c r="U83" s="1"/>
      <c r="V83" s="1"/>
      <c r="W83" s="79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R84" s="1"/>
      <c r="S84" s="1"/>
      <c r="T84" s="1"/>
      <c r="U84" s="1"/>
      <c r="V84" s="1"/>
      <c r="W84" s="79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R85" s="1"/>
      <c r="S85" s="1"/>
      <c r="T85" s="1"/>
      <c r="U85" s="1"/>
      <c r="V85" s="1"/>
      <c r="W85" s="79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R86" s="1"/>
      <c r="S86" s="1"/>
      <c r="T86" s="1"/>
      <c r="U86" s="1"/>
      <c r="V86" s="1"/>
      <c r="W86" s="79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R87" s="1"/>
      <c r="S87" s="1"/>
      <c r="T87" s="1"/>
      <c r="U87" s="1"/>
      <c r="V87" s="1"/>
      <c r="W87" s="79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79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79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79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79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79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79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79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79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79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79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79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79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79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79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9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9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79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9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79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79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79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79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9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9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9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9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9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9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9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9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9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9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9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9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9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9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9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9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9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9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9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9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9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9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9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9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9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9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9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9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9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9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9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9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9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9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9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9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9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79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79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79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79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79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79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79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79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79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79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79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79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79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79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79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79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79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79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79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79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79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79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79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79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79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79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79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79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79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79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79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79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79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79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79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79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79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79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79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79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79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79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79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79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79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79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79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79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79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79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79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79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79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79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79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79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79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79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79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79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79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79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79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79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79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79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79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79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79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79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79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79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79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79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79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79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79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79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79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79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79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79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79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79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79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79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79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79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79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79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79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79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79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79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79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79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79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79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79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79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79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79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79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79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79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79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79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79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79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79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79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79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79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79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79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79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79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79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79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79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79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79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79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79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79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79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79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79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79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79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79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79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79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79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79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79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79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79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79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79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79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79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79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79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79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79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79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79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79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79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79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79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79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79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79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79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79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79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79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79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79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79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79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79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79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79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79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79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79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79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79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79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79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79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79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79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79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79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79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79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79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79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79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79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79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79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79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79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79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79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79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79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79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79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79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79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79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79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79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79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79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79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79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79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79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79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79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79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79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79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79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9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9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9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9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79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79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79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79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9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79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79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79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79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79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79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79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79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79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79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79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79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79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79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79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79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79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79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79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79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79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79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79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79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79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79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79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79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79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79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79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79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79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79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79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79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79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79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79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79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79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79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79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79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79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79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79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79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79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79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79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79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79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79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79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79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79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79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79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79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79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79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79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79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79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79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79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79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79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79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79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79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79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79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79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79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79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79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79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79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79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79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79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79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79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79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79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79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79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79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79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79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79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79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79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79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79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79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79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79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79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79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79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79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79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79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79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79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79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79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79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79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79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79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79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79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79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79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79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79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79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79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79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79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79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79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79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79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79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79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79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79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79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79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79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79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79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79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79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79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79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79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79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79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79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79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79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79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79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79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79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79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79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79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79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79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79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79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79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79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79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79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79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79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79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79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79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79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79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79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79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79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79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79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79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79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79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79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79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79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79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79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79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79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79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79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79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79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79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79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79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79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79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79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79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79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79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79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79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79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79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79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79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79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79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79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79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79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79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79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79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79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79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79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79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79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79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79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79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79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79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79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79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79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79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79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79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79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79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79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79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79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79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79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79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79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79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79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79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79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79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79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79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79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79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79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79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79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79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79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79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79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79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79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79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79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79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79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79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79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79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79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79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79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79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79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79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79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79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79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79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79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79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79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79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79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79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79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79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79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79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79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79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79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79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79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79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79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79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79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79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79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79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79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79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79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79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79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79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79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79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79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79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79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79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79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79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79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79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79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79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79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79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79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79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79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79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79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79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79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79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79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79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79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79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79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79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79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79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79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79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79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79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79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79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79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79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79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79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79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79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79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79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79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79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79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79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79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79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79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79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79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79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79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79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79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79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79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79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79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79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79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79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79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79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79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79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79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79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79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79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79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79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79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79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79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79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79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79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79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79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79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79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79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79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79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79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79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79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79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79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79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79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79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79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79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79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79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79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79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79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79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79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79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79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79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79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79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79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79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79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79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79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79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79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79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79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79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79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79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79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79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79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79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79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79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79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79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79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79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79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79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79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79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79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79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79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79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79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79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79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79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79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79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79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79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79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79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79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79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79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79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79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79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79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79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79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79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79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79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79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79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79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79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79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79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79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79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79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79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79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79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79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79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79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79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79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79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79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79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79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79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79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79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79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79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79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79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79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79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79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79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79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79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79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79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79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79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79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79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79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79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79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79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79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79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79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79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79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79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79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79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79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79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79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79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79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79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79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79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79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79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79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79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79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79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79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79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79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79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79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79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79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79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79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79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79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79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79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79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79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79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79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79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79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79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79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79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79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79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79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79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79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79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79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79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79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79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79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79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79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79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79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79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79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79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79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79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79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79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79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79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79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79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79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79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79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79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79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79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79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79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79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79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79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79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79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79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79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79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79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79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79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79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79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79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79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79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79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79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79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79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"/>
      <c r="U969" s="1"/>
      <c r="V969" s="1"/>
      <c r="W969" s="79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"/>
      <c r="U970" s="1"/>
      <c r="V970" s="1"/>
      <c r="W970" s="79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"/>
      <c r="U971" s="1"/>
      <c r="V971" s="1"/>
      <c r="W971" s="79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"/>
      <c r="U972" s="1"/>
      <c r="V972" s="1"/>
      <c r="W972" s="79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"/>
      <c r="U973" s="1"/>
      <c r="V973" s="1"/>
      <c r="W973" s="79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Q974" s="1"/>
      <c r="R974" s="1"/>
      <c r="S974" s="1"/>
      <c r="T974" s="1"/>
      <c r="U974" s="1"/>
      <c r="V974" s="1"/>
      <c r="W974" s="79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Q975" s="1"/>
      <c r="R975" s="1"/>
      <c r="S975" s="1"/>
      <c r="T975" s="1"/>
      <c r="U975" s="1"/>
      <c r="V975" s="1"/>
      <c r="W975" s="79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Q976" s="1"/>
      <c r="R976" s="1"/>
      <c r="S976" s="1"/>
      <c r="T976" s="1"/>
      <c r="U976" s="1"/>
      <c r="V976" s="1"/>
      <c r="W976" s="79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Q977" s="1"/>
      <c r="R977" s="1"/>
      <c r="S977" s="1"/>
      <c r="T977" s="1"/>
      <c r="U977" s="1"/>
      <c r="V977" s="1"/>
      <c r="W977" s="79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Q978" s="1"/>
      <c r="R978" s="1"/>
      <c r="S978" s="1"/>
      <c r="T978" s="1"/>
      <c r="U978" s="1"/>
      <c r="V978" s="1"/>
      <c r="W978" s="79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Q979" s="1"/>
      <c r="R979" s="1"/>
      <c r="S979" s="1"/>
      <c r="T979" s="1"/>
      <c r="U979" s="1"/>
      <c r="V979" s="1"/>
      <c r="W979" s="79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Q980" s="1"/>
      <c r="R980" s="1"/>
      <c r="S980" s="1"/>
      <c r="T980" s="1"/>
      <c r="U980" s="1"/>
      <c r="V980" s="1"/>
      <c r="W980" s="79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Q981" s="1"/>
      <c r="R981" s="1"/>
      <c r="S981" s="1"/>
      <c r="T981" s="1"/>
      <c r="U981" s="1"/>
      <c r="V981" s="1"/>
      <c r="W981" s="79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Q982" s="1"/>
      <c r="R982" s="1"/>
      <c r="S982" s="1"/>
      <c r="T982" s="1"/>
      <c r="U982" s="1"/>
      <c r="V982" s="1"/>
      <c r="W982" s="79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Q983" s="1"/>
      <c r="R983" s="1"/>
      <c r="S983" s="1"/>
      <c r="T983" s="1"/>
      <c r="U983" s="1"/>
      <c r="V983" s="1"/>
      <c r="W983" s="79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Q984" s="1"/>
      <c r="R984" s="1"/>
      <c r="S984" s="1"/>
      <c r="T984" s="1"/>
      <c r="U984" s="1"/>
      <c r="V984" s="1"/>
      <c r="W984" s="79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Q985" s="1"/>
      <c r="R985" s="1"/>
      <c r="S985" s="1"/>
      <c r="T985" s="1"/>
      <c r="U985" s="1"/>
      <c r="V985" s="1"/>
      <c r="W985" s="79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Q986" s="1"/>
      <c r="R986" s="1"/>
      <c r="S986" s="1"/>
      <c r="T986" s="1"/>
      <c r="U986" s="1"/>
      <c r="V986" s="1"/>
      <c r="W986" s="79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Q987" s="1"/>
      <c r="R987" s="1"/>
      <c r="S987" s="1"/>
      <c r="T987" s="1"/>
      <c r="U987" s="1"/>
      <c r="V987" s="1"/>
      <c r="W987" s="79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Q988" s="1"/>
      <c r="R988" s="1"/>
      <c r="S988" s="1"/>
      <c r="T988" s="1"/>
      <c r="U988" s="1"/>
      <c r="V988" s="1"/>
      <c r="W988" s="79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Q989" s="1"/>
      <c r="R989" s="1"/>
      <c r="S989" s="1"/>
      <c r="T989" s="1"/>
      <c r="U989" s="1"/>
      <c r="V989" s="1"/>
      <c r="W989" s="79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Q990" s="1"/>
      <c r="R990" s="1"/>
      <c r="S990" s="1"/>
      <c r="T990" s="1"/>
      <c r="U990" s="1"/>
      <c r="V990" s="1"/>
      <c r="W990" s="79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Q991" s="1"/>
      <c r="R991" s="1"/>
      <c r="S991" s="1"/>
      <c r="T991" s="1"/>
      <c r="U991" s="1"/>
      <c r="V991" s="1"/>
      <c r="W991" s="79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Q992" s="1"/>
      <c r="R992" s="1"/>
      <c r="S992" s="1"/>
      <c r="T992" s="1"/>
      <c r="U992" s="1"/>
      <c r="V992" s="1"/>
      <c r="W992" s="79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Q993" s="1"/>
      <c r="R993" s="1"/>
      <c r="S993" s="1"/>
      <c r="T993" s="1"/>
      <c r="U993" s="1"/>
      <c r="V993" s="1"/>
      <c r="W993" s="79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Q994" s="1"/>
      <c r="R994" s="1"/>
      <c r="S994" s="1"/>
      <c r="T994" s="1"/>
      <c r="U994" s="1"/>
      <c r="V994" s="1"/>
      <c r="W994" s="79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Q995" s="1"/>
      <c r="R995" s="1"/>
      <c r="S995" s="1"/>
      <c r="T995" s="1"/>
      <c r="U995" s="1"/>
      <c r="V995" s="1"/>
      <c r="W995" s="79"/>
      <c r="X995" s="1"/>
      <c r="Y995" s="1"/>
      <c r="Z995" s="1"/>
      <c r="AA995" s="1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33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">
      <formula1>"Sales &amp; Marketing,General &amp; Admin,R&amp;D,Salaries &amp; Benefits,Other expenses"</formula1>
    </dataValidation>
    <dataValidation type="list" allowBlank="1" showErrorMessage="1" sqref="Q6:Q19">
      <formula1>"Australia,Germany,Singapore,United States,United Kingdom/Europe,China,South Korea,Japan,Hong Kong,Vietnam,Malaysia,India"</formula1>
    </dataValidation>
    <dataValidation type="list" allowBlank="1" showErrorMessage="1" sqref="Q20:Q25 Q29:Q40">
      <formula1>"Australia,Germany,Singapore,United States,United Kingdom,China,South Korea,Japan,Hong Kong,Vietnam,Malaysia,India,Europe"</formula1>
    </dataValidation>
    <dataValidation type="list" allowBlank="1" showErrorMessage="1" sqref="C6:C8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7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20:R25">
      <formula1>"Business Space, Life Sciences,Industrial,Logistics,Data Centers,Retail,Office,Hi-Tech Buildings,Flatted Factories,Stack-up Buildings"</formula1>
    </dataValidation>
    <dataValidation type="list" allowBlank="1" showErrorMessage="1" sqref="R6:R19 R29:R32">
      <formula1>"Business Space, Life Sciences,Industrial,Logistics,Data Centers,Retail,Office,Hi-Tech Buildings,Flatted Factories,Stack-up Buildings,Commercial"</formula1>
    </dataValidation>
  </dataValidations>
  <hyperlinks>
    <hyperlink r:id="rId1" ref="B1"/>
    <hyperlink r:id="rId2" ref="B2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0.88"/>
    <col customWidth="1" min="18" max="18" width="18.88"/>
    <col customWidth="1" min="19" max="19" width="24.63"/>
    <col customWidth="1" min="20" max="21" width="27.0"/>
    <col customWidth="1" min="22" max="22" width="22.63"/>
    <col customWidth="1" min="23" max="27" width="26.5"/>
  </cols>
  <sheetData>
    <row r="1">
      <c r="A1" s="1" t="s">
        <v>0</v>
      </c>
      <c r="B1" s="2" t="s">
        <v>361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79"/>
      <c r="X1" s="1"/>
      <c r="Y1" s="1"/>
      <c r="Z1" s="1"/>
      <c r="AA1" s="1"/>
    </row>
    <row r="2">
      <c r="A2" s="1" t="s">
        <v>2</v>
      </c>
      <c r="B2" s="5" t="s">
        <v>362</v>
      </c>
      <c r="C2" s="1"/>
      <c r="D2" s="6" t="s">
        <v>4</v>
      </c>
      <c r="E2" s="84">
        <v>45565.0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79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1"/>
      <c r="W3" s="79"/>
      <c r="X3" s="1"/>
      <c r="Y3" s="9"/>
      <c r="Z3" s="9"/>
      <c r="AA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4.46674E8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1.78206E8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/>
      <c r="AA5" s="9"/>
    </row>
    <row r="6">
      <c r="A6" s="17" t="s">
        <v>26</v>
      </c>
      <c r="B6" s="18">
        <v>-1.247E8</v>
      </c>
      <c r="C6" s="19" t="s">
        <v>27</v>
      </c>
      <c r="D6" s="32" t="s">
        <v>287</v>
      </c>
      <c r="E6" s="31">
        <v>3.61939E8</v>
      </c>
      <c r="F6" s="30" t="s">
        <v>29</v>
      </c>
      <c r="G6" s="31" t="s">
        <v>30</v>
      </c>
      <c r="H6" s="18">
        <v>-3.7594E7</v>
      </c>
      <c r="I6" s="8"/>
      <c r="J6" s="32" t="s">
        <v>363</v>
      </c>
      <c r="K6" s="45" t="s">
        <v>169</v>
      </c>
      <c r="L6" s="34">
        <v>4.5</v>
      </c>
      <c r="M6" s="1"/>
      <c r="N6" s="22" t="s">
        <v>33</v>
      </c>
      <c r="O6" s="23">
        <v>6.958678E9</v>
      </c>
      <c r="P6" s="1"/>
      <c r="Q6" s="17" t="s">
        <v>34</v>
      </c>
      <c r="R6" s="42" t="s">
        <v>44</v>
      </c>
      <c r="S6" s="35" t="s">
        <v>364</v>
      </c>
      <c r="T6" s="62"/>
      <c r="U6" s="62">
        <v>7.0E8</v>
      </c>
      <c r="V6" s="55">
        <v>5.21E7</v>
      </c>
      <c r="W6" s="117">
        <v>85.9</v>
      </c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321974000</v>
      </c>
      <c r="C7" s="30" t="s">
        <v>48</v>
      </c>
      <c r="D7" s="31" t="s">
        <v>365</v>
      </c>
      <c r="E7" s="31">
        <v>8.3426E7</v>
      </c>
      <c r="F7" s="30" t="s">
        <v>29</v>
      </c>
      <c r="G7" s="31" t="s">
        <v>337</v>
      </c>
      <c r="H7" s="31">
        <v>-4690000.0</v>
      </c>
      <c r="I7" s="1"/>
      <c r="J7" s="32" t="s">
        <v>366</v>
      </c>
      <c r="K7" s="45" t="s">
        <v>165</v>
      </c>
      <c r="L7" s="34">
        <v>3.6</v>
      </c>
      <c r="M7" s="1"/>
      <c r="N7" s="42" t="s">
        <v>43</v>
      </c>
      <c r="O7" s="43">
        <f>sum(O5:O6)</f>
        <v>7136884000</v>
      </c>
      <c r="P7" s="1"/>
      <c r="Q7" s="17" t="s">
        <v>117</v>
      </c>
      <c r="R7" s="42" t="s">
        <v>339</v>
      </c>
      <c r="S7" s="35" t="s">
        <v>367</v>
      </c>
      <c r="T7" s="62"/>
      <c r="U7" s="62">
        <v>3.245E8</v>
      </c>
      <c r="V7" s="55">
        <v>2.36E7</v>
      </c>
      <c r="W7" s="117">
        <v>94.0</v>
      </c>
      <c r="X7" s="1"/>
      <c r="Y7" s="17" t="s">
        <v>46</v>
      </c>
      <c r="Z7" s="28"/>
      <c r="AA7" s="9"/>
    </row>
    <row r="8">
      <c r="A8" s="17" t="s">
        <v>47</v>
      </c>
      <c r="B8" s="18">
        <v>-4.3129E7</v>
      </c>
      <c r="C8" s="30" t="s">
        <v>48</v>
      </c>
      <c r="D8" s="31" t="s">
        <v>46</v>
      </c>
      <c r="E8" s="31">
        <v>1309000.0</v>
      </c>
      <c r="F8" s="30" t="s">
        <v>29</v>
      </c>
      <c r="G8" s="31" t="s">
        <v>49</v>
      </c>
      <c r="H8" s="31">
        <v>-845000.0</v>
      </c>
      <c r="I8" s="1"/>
      <c r="J8" s="32" t="s">
        <v>368</v>
      </c>
      <c r="K8" s="45" t="s">
        <v>165</v>
      </c>
      <c r="L8" s="41">
        <v>2.7</v>
      </c>
      <c r="M8" s="1"/>
      <c r="N8" s="42" t="s">
        <v>51</v>
      </c>
      <c r="O8" s="23">
        <v>6.68141E8</v>
      </c>
      <c r="P8" s="1"/>
      <c r="Q8" s="42" t="s">
        <v>174</v>
      </c>
      <c r="R8" s="42" t="s">
        <v>44</v>
      </c>
      <c r="S8" s="35" t="s">
        <v>369</v>
      </c>
      <c r="T8" s="62"/>
      <c r="U8" s="62">
        <v>2.32E8</v>
      </c>
      <c r="V8" s="55">
        <v>2.36E7</v>
      </c>
      <c r="W8" s="117">
        <v>84.0</v>
      </c>
      <c r="X8" s="1"/>
      <c r="Y8" s="17" t="s">
        <v>53</v>
      </c>
      <c r="Z8" s="43">
        <f>SUM(Z5:Z7)</f>
        <v>0</v>
      </c>
      <c r="AA8" s="9"/>
    </row>
    <row r="9">
      <c r="A9" s="17" t="s">
        <v>54</v>
      </c>
      <c r="B9" s="40">
        <f>sum(B7:B8)</f>
        <v>278845000</v>
      </c>
      <c r="C9" s="19"/>
      <c r="D9" s="31"/>
      <c r="E9" s="31"/>
      <c r="F9" s="30"/>
      <c r="G9" s="31"/>
      <c r="H9" s="31"/>
      <c r="I9" s="1"/>
      <c r="J9" s="32" t="s">
        <v>370</v>
      </c>
      <c r="K9" s="45" t="s">
        <v>112</v>
      </c>
      <c r="L9" s="41">
        <v>2.3</v>
      </c>
      <c r="M9" s="1"/>
      <c r="N9" s="42" t="s">
        <v>58</v>
      </c>
      <c r="O9" s="23">
        <v>2.146647E9</v>
      </c>
      <c r="P9" s="1"/>
      <c r="Q9" s="17" t="s">
        <v>117</v>
      </c>
      <c r="R9" s="42" t="s">
        <v>44</v>
      </c>
      <c r="S9" s="35" t="s">
        <v>371</v>
      </c>
      <c r="T9" s="62"/>
      <c r="U9" s="62">
        <v>2.106E8</v>
      </c>
      <c r="V9" s="55">
        <v>2.13E7</v>
      </c>
      <c r="W9" s="117">
        <v>100.0</v>
      </c>
      <c r="X9" s="1"/>
      <c r="Y9" s="9"/>
      <c r="Z9" s="9"/>
      <c r="AA9" s="9"/>
    </row>
    <row r="10">
      <c r="A10" s="17" t="s">
        <v>60</v>
      </c>
      <c r="B10" s="18">
        <v>-1.04468E8</v>
      </c>
      <c r="C10" s="19"/>
      <c r="D10" s="31"/>
      <c r="E10" s="31"/>
      <c r="F10" s="30"/>
      <c r="G10" s="49"/>
      <c r="H10" s="31"/>
      <c r="I10" s="1"/>
      <c r="J10" s="45" t="s">
        <v>372</v>
      </c>
      <c r="K10" s="33" t="s">
        <v>360</v>
      </c>
      <c r="L10" s="34">
        <v>2.2</v>
      </c>
      <c r="M10" s="1"/>
      <c r="N10" s="42" t="s">
        <v>64</v>
      </c>
      <c r="O10" s="43">
        <f>sum(O8:O9)</f>
        <v>2814788000</v>
      </c>
      <c r="P10" s="1"/>
      <c r="Q10" s="42" t="s">
        <v>174</v>
      </c>
      <c r="R10" s="42" t="s">
        <v>44</v>
      </c>
      <c r="S10" s="35" t="s">
        <v>373</v>
      </c>
      <c r="T10" s="62"/>
      <c r="U10" s="62">
        <v>1.597E8</v>
      </c>
      <c r="V10" s="55">
        <v>1.7E7</v>
      </c>
      <c r="W10" s="117">
        <v>81.7</v>
      </c>
      <c r="X10" s="1"/>
      <c r="Y10" s="9"/>
      <c r="Z10" s="9"/>
      <c r="AA10" s="9"/>
    </row>
    <row r="11">
      <c r="A11" s="17" t="s">
        <v>67</v>
      </c>
      <c r="B11" s="40">
        <f>sum(B9:B10)</f>
        <v>174377000</v>
      </c>
      <c r="C11" s="19"/>
      <c r="D11" s="31"/>
      <c r="E11" s="31"/>
      <c r="F11" s="30"/>
      <c r="G11" s="31"/>
      <c r="H11" s="31"/>
      <c r="I11" s="1"/>
      <c r="J11" s="45" t="s">
        <v>180</v>
      </c>
      <c r="K11" s="33" t="s">
        <v>181</v>
      </c>
      <c r="L11" s="34">
        <v>2.0</v>
      </c>
      <c r="M11" s="9"/>
      <c r="N11" s="42" t="s">
        <v>70</v>
      </c>
      <c r="O11" s="43">
        <f>O7-O10</f>
        <v>4322096000</v>
      </c>
      <c r="P11" s="9"/>
      <c r="Q11" s="17" t="s">
        <v>117</v>
      </c>
      <c r="R11" s="42" t="s">
        <v>339</v>
      </c>
      <c r="S11" s="35" t="s">
        <v>374</v>
      </c>
      <c r="T11" s="62"/>
      <c r="U11" s="62">
        <v>1.697E8</v>
      </c>
      <c r="V11" s="55">
        <v>1.61E7</v>
      </c>
      <c r="W11" s="117">
        <v>83.0</v>
      </c>
      <c r="X11" s="1"/>
      <c r="Y11" s="9"/>
      <c r="Z11" s="9"/>
      <c r="AA11" s="9"/>
    </row>
    <row r="12">
      <c r="A12" s="17" t="s">
        <v>72</v>
      </c>
      <c r="B12" s="50">
        <v>-2.37E7</v>
      </c>
      <c r="C12" s="19"/>
      <c r="D12" s="31"/>
      <c r="E12" s="31"/>
      <c r="F12" s="48"/>
      <c r="G12" s="49"/>
      <c r="H12" s="31"/>
      <c r="I12" s="1"/>
      <c r="J12" s="45" t="s">
        <v>375</v>
      </c>
      <c r="K12" s="45" t="s">
        <v>165</v>
      </c>
      <c r="L12" s="34">
        <v>1.8</v>
      </c>
      <c r="M12" s="9"/>
      <c r="N12" s="9"/>
      <c r="O12" s="9"/>
      <c r="P12" s="9"/>
      <c r="Q12" s="42" t="s">
        <v>174</v>
      </c>
      <c r="R12" s="42" t="s">
        <v>44</v>
      </c>
      <c r="S12" s="35" t="s">
        <v>376</v>
      </c>
      <c r="T12" s="62"/>
      <c r="U12" s="62">
        <v>7.09E7</v>
      </c>
      <c r="V12" s="55">
        <v>9700000.0</v>
      </c>
      <c r="W12" s="117">
        <v>80.4</v>
      </c>
      <c r="X12" s="1"/>
      <c r="Y12" s="9"/>
      <c r="Z12" s="9"/>
      <c r="AA12" s="9"/>
    </row>
    <row r="13">
      <c r="A13" s="17" t="s">
        <v>76</v>
      </c>
      <c r="B13" s="40">
        <f>SUM(B11:B12)</f>
        <v>150677000</v>
      </c>
      <c r="C13" s="19"/>
      <c r="D13" s="31"/>
      <c r="E13" s="31"/>
      <c r="F13" s="19"/>
      <c r="G13" s="47"/>
      <c r="H13" s="47"/>
      <c r="I13" s="1"/>
      <c r="J13" s="33" t="s">
        <v>377</v>
      </c>
      <c r="K13" s="45" t="s">
        <v>42</v>
      </c>
      <c r="L13" s="34">
        <v>1.6</v>
      </c>
      <c r="M13" s="9"/>
      <c r="N13" s="42" t="s">
        <v>79</v>
      </c>
      <c r="O13" s="51">
        <f>O5-O8</f>
        <v>-489935000</v>
      </c>
      <c r="P13" s="9"/>
      <c r="Q13" s="17" t="s">
        <v>117</v>
      </c>
      <c r="R13" s="42" t="s">
        <v>140</v>
      </c>
      <c r="S13" s="35" t="s">
        <v>378</v>
      </c>
      <c r="T13" s="62"/>
      <c r="U13" s="62">
        <v>1.235E8</v>
      </c>
      <c r="V13" s="55">
        <v>6800000.0</v>
      </c>
      <c r="W13" s="117">
        <v>100.0</v>
      </c>
      <c r="X13" s="1"/>
      <c r="Y13" s="9"/>
      <c r="Z13" s="9"/>
      <c r="AA13" s="9"/>
    </row>
    <row r="14">
      <c r="A14" s="17" t="s">
        <v>81</v>
      </c>
      <c r="B14" s="50">
        <v>-3152000.0</v>
      </c>
      <c r="C14" s="30"/>
      <c r="D14" s="32"/>
      <c r="E14" s="18"/>
      <c r="F14" s="19"/>
      <c r="G14" s="47"/>
      <c r="H14" s="47"/>
      <c r="I14" s="1"/>
      <c r="J14" s="33" t="s">
        <v>379</v>
      </c>
      <c r="K14" s="45" t="s">
        <v>165</v>
      </c>
      <c r="L14" s="34">
        <v>1.5</v>
      </c>
      <c r="M14" s="9"/>
      <c r="P14" s="9"/>
      <c r="Q14" s="42" t="s">
        <v>380</v>
      </c>
      <c r="R14" s="42" t="s">
        <v>140</v>
      </c>
      <c r="S14" s="35" t="s">
        <v>381</v>
      </c>
      <c r="T14" s="62"/>
      <c r="U14" s="62">
        <v>1.099E8</v>
      </c>
      <c r="V14" s="55">
        <v>6700000.0</v>
      </c>
      <c r="W14" s="117">
        <v>100.0</v>
      </c>
      <c r="X14" s="1"/>
      <c r="Y14" s="9"/>
      <c r="Z14" s="9"/>
      <c r="AA14" s="9"/>
    </row>
    <row r="15">
      <c r="A15" s="42" t="s">
        <v>85</v>
      </c>
      <c r="B15" s="50">
        <v>0.0</v>
      </c>
      <c r="C15" s="19"/>
      <c r="D15" s="31"/>
      <c r="E15" s="31"/>
      <c r="F15" s="19"/>
      <c r="G15" s="47"/>
      <c r="H15" s="47"/>
      <c r="I15" s="1"/>
      <c r="J15" s="32" t="s">
        <v>382</v>
      </c>
      <c r="K15" s="45" t="s">
        <v>165</v>
      </c>
      <c r="L15" s="41">
        <v>1.4</v>
      </c>
      <c r="M15" s="1"/>
      <c r="N15" s="8" t="s">
        <v>87</v>
      </c>
      <c r="O15" s="9"/>
      <c r="P15" s="1"/>
      <c r="Q15" s="17" t="s">
        <v>117</v>
      </c>
      <c r="R15" s="42" t="s">
        <v>140</v>
      </c>
      <c r="S15" s="35" t="s">
        <v>383</v>
      </c>
      <c r="T15" s="62"/>
      <c r="U15" s="62">
        <v>1.128E8</v>
      </c>
      <c r="V15" s="55">
        <v>6500000.0</v>
      </c>
      <c r="W15" s="117">
        <v>100.0</v>
      </c>
      <c r="X15" s="1"/>
      <c r="Y15" s="9"/>
      <c r="Z15" s="9"/>
      <c r="AA15" s="9"/>
    </row>
    <row r="16">
      <c r="A16" s="42" t="s">
        <v>89</v>
      </c>
      <c r="B16" s="40">
        <f>SUM(B13:B15)</f>
        <v>147525000</v>
      </c>
      <c r="C16" s="19"/>
      <c r="D16" s="31"/>
      <c r="E16" s="31"/>
      <c r="F16" s="19"/>
      <c r="G16" s="47"/>
      <c r="H16" s="47"/>
      <c r="I16" s="1"/>
      <c r="J16" s="53" t="s">
        <v>90</v>
      </c>
      <c r="K16" s="53"/>
      <c r="L16" s="54">
        <f>SUM(L6:L15)</f>
        <v>23.6</v>
      </c>
      <c r="M16" s="1"/>
      <c r="N16" s="42" t="s">
        <v>91</v>
      </c>
      <c r="O16" s="23">
        <v>3.11372E8</v>
      </c>
      <c r="P16" s="1"/>
      <c r="Q16" s="17" t="s">
        <v>118</v>
      </c>
      <c r="R16" s="42" t="s">
        <v>140</v>
      </c>
      <c r="S16" s="35" t="s">
        <v>384</v>
      </c>
      <c r="T16" s="62"/>
      <c r="U16" s="62">
        <v>8.83E7</v>
      </c>
      <c r="V16" s="55">
        <v>6400000.0</v>
      </c>
      <c r="W16" s="117">
        <v>100.0</v>
      </c>
      <c r="X16" s="1"/>
      <c r="Y16" s="9"/>
      <c r="Z16" s="9"/>
      <c r="AA16" s="9"/>
    </row>
    <row r="17">
      <c r="A17" s="17" t="s">
        <v>93</v>
      </c>
      <c r="B17" s="81">
        <v>-6.5658E7</v>
      </c>
      <c r="C17" s="19"/>
      <c r="D17" s="32"/>
      <c r="E17" s="18"/>
      <c r="F17" s="19"/>
      <c r="G17" s="47"/>
      <c r="H17" s="47"/>
      <c r="I17" s="1"/>
      <c r="J17" s="1"/>
      <c r="K17" s="1"/>
      <c r="L17" s="1"/>
      <c r="M17" s="9"/>
      <c r="N17" s="42" t="s">
        <v>94</v>
      </c>
      <c r="O17" s="55">
        <v>-2.63661E8</v>
      </c>
      <c r="P17" s="1"/>
      <c r="Q17" s="17" t="s">
        <v>118</v>
      </c>
      <c r="R17" s="42" t="s">
        <v>140</v>
      </c>
      <c r="S17" s="35" t="s">
        <v>385</v>
      </c>
      <c r="T17" s="62"/>
      <c r="U17" s="62">
        <v>1.132E8</v>
      </c>
      <c r="V17" s="55">
        <v>6300000.0</v>
      </c>
      <c r="W17" s="117">
        <v>100.0</v>
      </c>
      <c r="X17" s="1"/>
      <c r="Y17" s="9"/>
      <c r="Z17" s="9"/>
      <c r="AA17" s="9"/>
    </row>
    <row r="18">
      <c r="A18" s="17" t="s">
        <v>96</v>
      </c>
      <c r="B18" s="43">
        <f>B11-B17</f>
        <v>240035000</v>
      </c>
      <c r="C18" s="19"/>
      <c r="D18" s="47"/>
      <c r="E18" s="47"/>
      <c r="F18" s="19"/>
      <c r="G18" s="47"/>
      <c r="H18" s="47"/>
      <c r="I18" s="1"/>
      <c r="J18" s="14" t="s">
        <v>97</v>
      </c>
      <c r="K18" s="15"/>
      <c r="L18" s="16"/>
      <c r="M18" s="1"/>
      <c r="N18" s="42" t="s">
        <v>98</v>
      </c>
      <c r="O18" s="55">
        <v>-6.7375E7</v>
      </c>
      <c r="P18" s="1"/>
      <c r="Q18" s="17" t="s">
        <v>118</v>
      </c>
      <c r="R18" s="42" t="s">
        <v>140</v>
      </c>
      <c r="S18" s="35" t="s">
        <v>386</v>
      </c>
      <c r="T18" s="62"/>
      <c r="U18" s="62">
        <v>1.158E8</v>
      </c>
      <c r="V18" s="55">
        <v>6200000.0</v>
      </c>
      <c r="W18" s="117">
        <v>100.0</v>
      </c>
      <c r="X18" s="1"/>
      <c r="Y18" s="9"/>
      <c r="Z18" s="9"/>
      <c r="AA18" s="9"/>
    </row>
    <row r="19">
      <c r="A19" s="17" t="s">
        <v>100</v>
      </c>
      <c r="B19" s="81">
        <f>-57000-40753000</f>
        <v>-40810000</v>
      </c>
      <c r="C19" s="19"/>
      <c r="D19" s="47"/>
      <c r="E19" s="47"/>
      <c r="F19" s="19"/>
      <c r="G19" s="47"/>
      <c r="H19" s="47"/>
      <c r="I19" s="1"/>
      <c r="J19" s="45" t="s">
        <v>165</v>
      </c>
      <c r="K19" s="32"/>
      <c r="L19" s="129">
        <f>28.4+0.5</f>
        <v>28.9</v>
      </c>
      <c r="M19" s="1"/>
      <c r="N19" s="42" t="s">
        <v>101</v>
      </c>
      <c r="O19" s="43">
        <f>sum(O16:O18)</f>
        <v>-19664000</v>
      </c>
      <c r="P19" s="1"/>
      <c r="Q19" s="17" t="s">
        <v>117</v>
      </c>
      <c r="R19" s="42" t="s">
        <v>140</v>
      </c>
      <c r="S19" s="35" t="s">
        <v>387</v>
      </c>
      <c r="T19" s="62"/>
      <c r="U19" s="62">
        <v>7.42E7</v>
      </c>
      <c r="V19" s="55">
        <v>6100000.0</v>
      </c>
      <c r="W19" s="117">
        <v>100.0</v>
      </c>
      <c r="X19" s="1"/>
      <c r="Y19" s="9"/>
      <c r="Z19" s="9"/>
      <c r="AA19" s="9"/>
    </row>
    <row r="20">
      <c r="A20" s="17" t="s">
        <v>103</v>
      </c>
      <c r="B20" s="136">
        <f>sum(B18:B19)</f>
        <v>199225000</v>
      </c>
      <c r="C20" s="30"/>
      <c r="D20" s="47"/>
      <c r="E20" s="47"/>
      <c r="F20" s="19"/>
      <c r="G20" s="47"/>
      <c r="H20" s="47"/>
      <c r="I20" s="1"/>
      <c r="J20" s="32" t="s">
        <v>57</v>
      </c>
      <c r="K20" s="44"/>
      <c r="L20" s="130">
        <f>18.3+1.5</f>
        <v>19.8</v>
      </c>
      <c r="M20" s="1"/>
      <c r="N20" s="57"/>
      <c r="O20" s="9"/>
      <c r="P20" s="1"/>
      <c r="Q20" s="17" t="s">
        <v>117</v>
      </c>
      <c r="R20" s="42" t="s">
        <v>140</v>
      </c>
      <c r="S20" s="35" t="s">
        <v>388</v>
      </c>
      <c r="T20" s="62"/>
      <c r="U20" s="62">
        <v>1.284E8</v>
      </c>
      <c r="V20" s="55">
        <v>5800000.0</v>
      </c>
      <c r="W20" s="117">
        <v>100.0</v>
      </c>
      <c r="X20" s="1"/>
      <c r="Y20" s="9"/>
      <c r="Z20" s="9"/>
      <c r="AA20" s="9"/>
    </row>
    <row r="21">
      <c r="A21" s="42" t="s">
        <v>105</v>
      </c>
      <c r="B21" s="28"/>
      <c r="C21" s="19"/>
      <c r="D21" s="47"/>
      <c r="E21" s="47"/>
      <c r="F21" s="19"/>
      <c r="G21" s="47"/>
      <c r="H21" s="47"/>
      <c r="I21" s="1"/>
      <c r="J21" s="45" t="s">
        <v>181</v>
      </c>
      <c r="K21" s="44"/>
      <c r="L21" s="129">
        <f>6.7+5.5+0.5+1.4+2.5+0.5+1.1</f>
        <v>18.2</v>
      </c>
      <c r="M21" s="1"/>
      <c r="P21" s="1"/>
      <c r="Q21" s="17" t="s">
        <v>118</v>
      </c>
      <c r="R21" s="42" t="s">
        <v>140</v>
      </c>
      <c r="S21" s="35" t="s">
        <v>389</v>
      </c>
      <c r="T21" s="62"/>
      <c r="U21" s="62">
        <v>9.04E7</v>
      </c>
      <c r="V21" s="55">
        <v>5800000.0</v>
      </c>
      <c r="W21" s="117">
        <v>100.0</v>
      </c>
      <c r="X21" s="1"/>
      <c r="Y21" s="9"/>
      <c r="Z21" s="9"/>
      <c r="AA21" s="9"/>
    </row>
    <row r="22">
      <c r="A22" s="42" t="s">
        <v>107</v>
      </c>
      <c r="B22" s="137">
        <f>B13-B19-B21</f>
        <v>191487000</v>
      </c>
      <c r="C22" s="19"/>
      <c r="D22" s="47"/>
      <c r="E22" s="47"/>
      <c r="F22" s="19"/>
      <c r="G22" s="47"/>
      <c r="H22" s="47"/>
      <c r="I22" s="1"/>
      <c r="J22" s="45" t="s">
        <v>112</v>
      </c>
      <c r="K22" s="44"/>
      <c r="L22" s="129">
        <f>6+1.7</f>
        <v>7.7</v>
      </c>
      <c r="M22" s="1"/>
      <c r="Q22" s="42" t="s">
        <v>174</v>
      </c>
      <c r="R22" s="42" t="s">
        <v>140</v>
      </c>
      <c r="S22" s="35" t="s">
        <v>390</v>
      </c>
      <c r="T22" s="62"/>
      <c r="U22" s="62">
        <v>1.169E8</v>
      </c>
      <c r="V22" s="55">
        <v>5100000.0</v>
      </c>
      <c r="W22" s="117">
        <v>100.0</v>
      </c>
      <c r="X22" s="1"/>
      <c r="Y22" s="9"/>
      <c r="Z22" s="9"/>
      <c r="AA22" s="9"/>
    </row>
    <row r="23">
      <c r="A23" s="9"/>
      <c r="B23" s="9"/>
      <c r="C23" s="19"/>
      <c r="D23" s="47"/>
      <c r="E23" s="47"/>
      <c r="F23" s="19"/>
      <c r="G23" s="47"/>
      <c r="H23" s="47"/>
      <c r="I23" s="1"/>
      <c r="J23" s="32" t="s">
        <v>169</v>
      </c>
      <c r="K23" s="44"/>
      <c r="L23" s="130">
        <v>5.5</v>
      </c>
      <c r="M23" s="1"/>
      <c r="Q23" s="17" t="s">
        <v>117</v>
      </c>
      <c r="R23" s="42" t="s">
        <v>140</v>
      </c>
      <c r="S23" s="35" t="s">
        <v>391</v>
      </c>
      <c r="T23" s="62"/>
      <c r="U23" s="62">
        <v>1.102E8</v>
      </c>
      <c r="V23" s="55">
        <v>5000000.0</v>
      </c>
      <c r="W23" s="117">
        <v>100.0</v>
      </c>
      <c r="X23" s="1"/>
      <c r="Y23" s="9"/>
      <c r="Z23" s="9"/>
      <c r="AA23" s="9"/>
    </row>
    <row r="24">
      <c r="A24" s="9"/>
      <c r="B24" s="9"/>
      <c r="C24" s="19"/>
      <c r="D24" s="47"/>
      <c r="E24" s="47"/>
      <c r="F24" s="19"/>
      <c r="G24" s="47"/>
      <c r="H24" s="47"/>
      <c r="I24" s="1"/>
      <c r="J24" s="32" t="s">
        <v>42</v>
      </c>
      <c r="K24" s="44"/>
      <c r="L24" s="130">
        <f>3.4+2.1</f>
        <v>5.5</v>
      </c>
      <c r="M24" s="1"/>
      <c r="Q24" s="17" t="s">
        <v>118</v>
      </c>
      <c r="R24" s="42" t="s">
        <v>140</v>
      </c>
      <c r="S24" s="35" t="s">
        <v>392</v>
      </c>
      <c r="T24" s="62"/>
      <c r="U24" s="62">
        <v>8.36E7</v>
      </c>
      <c r="V24" s="55">
        <v>4700000.0</v>
      </c>
      <c r="W24" s="117">
        <v>100.0</v>
      </c>
      <c r="X24" s="1"/>
      <c r="Y24" s="9"/>
      <c r="Z24" s="9"/>
      <c r="AA24" s="9"/>
    </row>
    <row r="25">
      <c r="A25" s="9"/>
      <c r="B25" s="9"/>
      <c r="C25" s="19"/>
      <c r="D25" s="47"/>
      <c r="E25" s="47"/>
      <c r="F25" s="19"/>
      <c r="G25" s="47"/>
      <c r="H25" s="47"/>
      <c r="I25" s="1"/>
      <c r="J25" s="32" t="s">
        <v>360</v>
      </c>
      <c r="K25" s="44"/>
      <c r="L25" s="130">
        <v>2.6</v>
      </c>
      <c r="M25" s="1"/>
      <c r="Q25" s="42" t="s">
        <v>380</v>
      </c>
      <c r="R25" s="42" t="s">
        <v>140</v>
      </c>
      <c r="S25" s="35" t="s">
        <v>393</v>
      </c>
      <c r="T25" s="62"/>
      <c r="U25" s="62">
        <v>6.63E7</v>
      </c>
      <c r="V25" s="55">
        <v>4400000.0</v>
      </c>
      <c r="W25" s="117">
        <v>100.0</v>
      </c>
      <c r="X25" s="1"/>
      <c r="Y25" s="9"/>
      <c r="Z25" s="9"/>
      <c r="AA25" s="9"/>
    </row>
    <row r="26">
      <c r="A26" s="1"/>
      <c r="B26" s="57"/>
      <c r="C26" s="19"/>
      <c r="D26" s="47"/>
      <c r="E26" s="47"/>
      <c r="F26" s="19"/>
      <c r="G26" s="47"/>
      <c r="H26" s="47"/>
      <c r="I26" s="1"/>
      <c r="J26" s="32" t="s">
        <v>46</v>
      </c>
      <c r="K26" s="44"/>
      <c r="L26" s="130">
        <f>3.6+4.5+1</f>
        <v>9.1</v>
      </c>
      <c r="M26" s="1"/>
      <c r="N26" s="9"/>
      <c r="O26" s="9"/>
      <c r="X26" s="1"/>
      <c r="Y26" s="9"/>
      <c r="Z26" s="9"/>
      <c r="AA26" s="9"/>
    </row>
    <row r="27">
      <c r="A27" s="1"/>
      <c r="B27" s="57"/>
      <c r="C27" s="19"/>
      <c r="D27" s="47"/>
      <c r="E27" s="47"/>
      <c r="F27" s="19"/>
      <c r="G27" s="47"/>
      <c r="H27" s="47"/>
      <c r="I27" s="1"/>
      <c r="J27" s="32" t="s">
        <v>108</v>
      </c>
      <c r="K27" s="44"/>
      <c r="L27" s="130">
        <v>1.9</v>
      </c>
      <c r="M27" s="1"/>
      <c r="N27" s="9"/>
      <c r="O27" s="9"/>
      <c r="P27" s="1"/>
      <c r="Q27" s="58" t="s">
        <v>114</v>
      </c>
      <c r="R27" s="15"/>
      <c r="S27" s="15"/>
      <c r="T27" s="15"/>
      <c r="U27" s="15"/>
      <c r="V27" s="15"/>
      <c r="W27" s="16"/>
      <c r="X27" s="1"/>
      <c r="Y27" s="9"/>
      <c r="Z27" s="9"/>
      <c r="AA27" s="9"/>
    </row>
    <row r="28">
      <c r="A28" s="1"/>
      <c r="B28" s="57"/>
      <c r="C28" s="19"/>
      <c r="D28" s="47"/>
      <c r="E28" s="47"/>
      <c r="F28" s="19"/>
      <c r="G28" s="47"/>
      <c r="H28" s="47"/>
      <c r="I28" s="1"/>
      <c r="J28" s="32" t="s">
        <v>74</v>
      </c>
      <c r="K28" s="44"/>
      <c r="L28" s="130">
        <v>0.8</v>
      </c>
      <c r="M28" s="57"/>
      <c r="N28" s="9"/>
      <c r="O28" s="9"/>
      <c r="P28" s="57"/>
      <c r="Q28" s="59" t="s">
        <v>18</v>
      </c>
      <c r="R28" s="59" t="s">
        <v>19</v>
      </c>
      <c r="S28" s="59"/>
      <c r="T28" s="60" t="s">
        <v>115</v>
      </c>
      <c r="U28" s="60" t="s">
        <v>22</v>
      </c>
      <c r="V28" s="59" t="s">
        <v>23</v>
      </c>
      <c r="W28" s="61" t="s">
        <v>24</v>
      </c>
      <c r="X28" s="1"/>
      <c r="Y28" s="9"/>
      <c r="Z28" s="9"/>
      <c r="AA28" s="9"/>
    </row>
    <row r="29">
      <c r="A29" s="1"/>
      <c r="B29" s="1"/>
      <c r="C29" s="19"/>
      <c r="D29" s="47"/>
      <c r="E29" s="47"/>
      <c r="F29" s="19"/>
      <c r="G29" s="47"/>
      <c r="H29" s="47"/>
      <c r="I29" s="1"/>
      <c r="J29" s="53" t="s">
        <v>90</v>
      </c>
      <c r="K29" s="53"/>
      <c r="L29" s="131">
        <f>SUM(L19:L28)</f>
        <v>100</v>
      </c>
      <c r="M29" s="57"/>
      <c r="N29" s="9"/>
      <c r="O29" s="9"/>
      <c r="P29" s="57"/>
      <c r="Q29" s="42" t="s">
        <v>34</v>
      </c>
      <c r="R29" s="42" t="s">
        <v>44</v>
      </c>
      <c r="S29" s="35"/>
      <c r="T29" s="62">
        <v>1.0</v>
      </c>
      <c r="U29" s="62">
        <v>7.0E8</v>
      </c>
      <c r="V29" s="55">
        <v>5.21E7</v>
      </c>
      <c r="W29" s="117">
        <v>85.9</v>
      </c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4">
        <f>SUM(E6:E29)</f>
        <v>446674000</v>
      </c>
      <c r="F30" s="19"/>
      <c r="G30" s="19" t="s">
        <v>90</v>
      </c>
      <c r="H30" s="64">
        <f>SUM(H6:H29)</f>
        <v>-43129000</v>
      </c>
      <c r="I30" s="1"/>
      <c r="J30" s="1"/>
      <c r="K30" s="1"/>
      <c r="L30" s="1"/>
      <c r="M30" s="57"/>
      <c r="N30" s="9"/>
      <c r="O30" s="9"/>
      <c r="P30" s="57"/>
      <c r="Q30" s="42" t="s">
        <v>117</v>
      </c>
      <c r="R30" s="42" t="s">
        <v>140</v>
      </c>
      <c r="S30" s="28"/>
      <c r="T30" s="62">
        <v>61.0</v>
      </c>
      <c r="U30" s="62">
        <v>2.5802E9</v>
      </c>
      <c r="V30" s="28">
        <v>1.542E8</v>
      </c>
      <c r="W30" s="85">
        <v>100.0</v>
      </c>
      <c r="X30" s="1"/>
      <c r="Y30" s="9"/>
      <c r="Z30" s="9"/>
      <c r="AA30" s="9"/>
    </row>
    <row r="31">
      <c r="A31" s="1"/>
      <c r="B31" s="1"/>
      <c r="C31" s="19"/>
      <c r="D31" s="65" t="s">
        <v>116</v>
      </c>
      <c r="E31" s="66" t="str">
        <f>IF(B5=E30, "True", "False")</f>
        <v>True</v>
      </c>
      <c r="F31" s="19"/>
      <c r="G31" s="65" t="s">
        <v>116</v>
      </c>
      <c r="H31" s="66" t="str">
        <f>IF(B8=H30, "True", "False")</f>
        <v>True</v>
      </c>
      <c r="I31" s="1"/>
      <c r="J31" s="1"/>
      <c r="K31" s="1"/>
      <c r="L31" s="1"/>
      <c r="M31" s="57"/>
      <c r="N31" s="9"/>
      <c r="O31" s="9"/>
      <c r="P31" s="57"/>
      <c r="Q31" s="42" t="s">
        <v>117</v>
      </c>
      <c r="R31" s="42" t="s">
        <v>44</v>
      </c>
      <c r="S31" s="28"/>
      <c r="T31" s="62">
        <v>2.0</v>
      </c>
      <c r="U31" s="62">
        <v>2.452E8</v>
      </c>
      <c r="V31" s="28">
        <v>2.47E7</v>
      </c>
      <c r="W31" s="85">
        <v>100.0</v>
      </c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7"/>
      <c r="N32" s="9"/>
      <c r="O32" s="9"/>
      <c r="P32" s="9"/>
      <c r="Q32" s="42" t="s">
        <v>118</v>
      </c>
      <c r="R32" s="42" t="s">
        <v>140</v>
      </c>
      <c r="S32" s="28"/>
      <c r="T32" s="62">
        <v>33.0</v>
      </c>
      <c r="U32" s="62">
        <v>1.7086E9</v>
      </c>
      <c r="V32" s="28">
        <v>9.36E7</v>
      </c>
      <c r="W32" s="85">
        <v>100.0</v>
      </c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42" t="s">
        <v>174</v>
      </c>
      <c r="R33" s="42" t="s">
        <v>140</v>
      </c>
      <c r="S33" s="28"/>
      <c r="T33" s="62">
        <v>5.0</v>
      </c>
      <c r="U33" s="62">
        <v>2.589E8</v>
      </c>
      <c r="V33" s="28">
        <v>1.27E7</v>
      </c>
      <c r="W33" s="85">
        <v>100.0</v>
      </c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42" t="s">
        <v>380</v>
      </c>
      <c r="R34" s="42" t="s">
        <v>140</v>
      </c>
      <c r="S34" s="28"/>
      <c r="T34" s="62">
        <v>6.0</v>
      </c>
      <c r="U34" s="62">
        <v>3.235E8</v>
      </c>
      <c r="V34" s="28">
        <v>1.94E7</v>
      </c>
      <c r="W34" s="85">
        <v>100.0</v>
      </c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42" t="s">
        <v>174</v>
      </c>
      <c r="R35" s="42" t="s">
        <v>44</v>
      </c>
      <c r="S35" s="35"/>
      <c r="T35" s="62">
        <v>3.0</v>
      </c>
      <c r="U35" s="62">
        <v>4.626E8</v>
      </c>
      <c r="V35" s="55">
        <v>5.03E7</v>
      </c>
      <c r="W35" s="117">
        <v>82.0</v>
      </c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67"/>
      <c r="P36" s="9"/>
      <c r="Q36" s="42" t="s">
        <v>117</v>
      </c>
      <c r="R36" s="42" t="s">
        <v>339</v>
      </c>
      <c r="S36" s="28"/>
      <c r="T36" s="62">
        <v>2.0</v>
      </c>
      <c r="U36" s="106">
        <v>4.942E8</v>
      </c>
      <c r="V36" s="89">
        <v>3.97E7</v>
      </c>
      <c r="W36" s="107">
        <v>89.0</v>
      </c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 t="s">
        <v>119</v>
      </c>
      <c r="O37" s="42"/>
      <c r="P37" s="1"/>
      <c r="Q37" s="42"/>
      <c r="R37" s="42"/>
      <c r="S37" s="28"/>
      <c r="T37" s="62"/>
      <c r="U37" s="62"/>
      <c r="V37" s="28"/>
      <c r="W37" s="85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 t="s">
        <v>120</v>
      </c>
      <c r="O38" s="42"/>
      <c r="P38" s="1"/>
      <c r="Q38" s="42"/>
      <c r="R38" s="42"/>
      <c r="S38" s="28"/>
      <c r="T38" s="62"/>
      <c r="U38" s="62"/>
      <c r="V38" s="28"/>
      <c r="W38" s="85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 t="s">
        <v>121</v>
      </c>
      <c r="O39" s="42"/>
      <c r="P39" s="1"/>
      <c r="Q39" s="42"/>
      <c r="R39" s="42"/>
      <c r="S39" s="28"/>
      <c r="T39" s="62"/>
      <c r="U39" s="62"/>
      <c r="V39" s="28"/>
      <c r="W39" s="85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 t="s">
        <v>122</v>
      </c>
      <c r="O40" s="28">
        <f>174787000+8352000+88209000</f>
        <v>271348000</v>
      </c>
      <c r="P40" s="8"/>
      <c r="Q40" s="42"/>
      <c r="R40" s="42"/>
      <c r="S40" s="28"/>
      <c r="T40" s="68"/>
      <c r="U40" s="68"/>
      <c r="V40" s="28"/>
      <c r="W40" s="85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9" t="s">
        <v>90</v>
      </c>
      <c r="T41" s="70">
        <f t="shared" ref="T41:V41" si="1">sum(T29:T40)</f>
        <v>113</v>
      </c>
      <c r="U41" s="70">
        <f t="shared" si="1"/>
        <v>6773200000</v>
      </c>
      <c r="V41" s="70">
        <f t="shared" si="1"/>
        <v>446700000</v>
      </c>
      <c r="W41" s="4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"/>
      <c r="O42" s="8" t="s">
        <v>123</v>
      </c>
      <c r="P42" s="1"/>
      <c r="Q42" s="1"/>
      <c r="R42" s="1"/>
      <c r="S42" s="1"/>
      <c r="T42" s="1"/>
      <c r="U42" s="1"/>
      <c r="V42" s="1"/>
      <c r="W42" s="79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10" t="s">
        <v>124</v>
      </c>
      <c r="O43" s="72">
        <v>3.752728E9</v>
      </c>
      <c r="P43" s="1"/>
      <c r="Q43" s="1"/>
      <c r="R43" s="1"/>
      <c r="W43" s="79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12" t="s">
        <v>125</v>
      </c>
      <c r="O44" s="72">
        <v>3.762202E9</v>
      </c>
      <c r="P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98" t="s">
        <v>126</v>
      </c>
      <c r="O45" s="75">
        <v>3.87327E8</v>
      </c>
      <c r="P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99" t="s">
        <v>127</v>
      </c>
      <c r="O46" s="75">
        <v>2.55515E8</v>
      </c>
      <c r="P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9" t="s">
        <v>128</v>
      </c>
      <c r="O47" s="75">
        <v>2.6258E8</v>
      </c>
      <c r="P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99" t="s">
        <v>129</v>
      </c>
      <c r="O48" s="75">
        <v>1.24747E8</v>
      </c>
      <c r="P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130</v>
      </c>
      <c r="O49" s="83">
        <v>3.563645E9</v>
      </c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N50" s="77" t="s">
        <v>131</v>
      </c>
      <c r="O50" s="120">
        <v>1.192E7</v>
      </c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S58" s="1"/>
      <c r="T58" s="1"/>
      <c r="U58" s="1"/>
      <c r="V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R59" s="1"/>
      <c r="S59" s="1"/>
      <c r="T59" s="1"/>
      <c r="U59" s="1"/>
      <c r="V59" s="1"/>
      <c r="W59" s="79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R60" s="1"/>
      <c r="S60" s="1"/>
      <c r="T60" s="1"/>
      <c r="U60" s="1"/>
      <c r="V60" s="1"/>
      <c r="W60" s="79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R61" s="1"/>
      <c r="S61" s="1"/>
      <c r="T61" s="1"/>
      <c r="U61" s="1"/>
      <c r="V61" s="1"/>
      <c r="W61" s="79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R62" s="1"/>
      <c r="S62" s="1"/>
      <c r="T62" s="1"/>
      <c r="U62" s="1"/>
      <c r="V62" s="1"/>
      <c r="W62" s="79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R63" s="1"/>
      <c r="S63" s="1"/>
      <c r="T63" s="1"/>
      <c r="U63" s="1"/>
      <c r="V63" s="1"/>
      <c r="W63" s="79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R64" s="1"/>
      <c r="S64" s="1"/>
      <c r="T64" s="1"/>
      <c r="U64" s="1"/>
      <c r="V64" s="1"/>
      <c r="W64" s="79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R65" s="1"/>
      <c r="S65" s="1"/>
      <c r="T65" s="1"/>
      <c r="U65" s="1"/>
      <c r="V65" s="1"/>
      <c r="W65" s="79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R66" s="1"/>
      <c r="S66" s="1"/>
      <c r="T66" s="1"/>
      <c r="U66" s="1"/>
      <c r="V66" s="1"/>
      <c r="W66" s="79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R67" s="1"/>
      <c r="S67" s="1"/>
      <c r="T67" s="1"/>
      <c r="U67" s="1"/>
      <c r="V67" s="1"/>
      <c r="W67" s="79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R68" s="1"/>
      <c r="S68" s="1"/>
      <c r="T68" s="1"/>
      <c r="U68" s="1"/>
      <c r="V68" s="1"/>
      <c r="W68" s="79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R69" s="1"/>
      <c r="S69" s="1"/>
      <c r="T69" s="1"/>
      <c r="U69" s="1"/>
      <c r="V69" s="1"/>
      <c r="W69" s="79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R70" s="1"/>
      <c r="S70" s="1"/>
      <c r="T70" s="1"/>
      <c r="U70" s="1"/>
      <c r="V70" s="1"/>
      <c r="W70" s="79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R71" s="1"/>
      <c r="S71" s="1"/>
      <c r="T71" s="1"/>
      <c r="U71" s="1"/>
      <c r="V71" s="1"/>
      <c r="W71" s="79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R72" s="1"/>
      <c r="S72" s="1"/>
      <c r="T72" s="1"/>
      <c r="U72" s="1"/>
      <c r="V72" s="1"/>
      <c r="W72" s="79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R73" s="1"/>
      <c r="S73" s="1"/>
      <c r="T73" s="1"/>
      <c r="U73" s="1"/>
      <c r="V73" s="1"/>
      <c r="W73" s="79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R74" s="1"/>
      <c r="S74" s="1"/>
      <c r="T74" s="1"/>
      <c r="U74" s="1"/>
      <c r="V74" s="1"/>
      <c r="W74" s="79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R75" s="1"/>
      <c r="S75" s="1"/>
      <c r="T75" s="1"/>
      <c r="U75" s="1"/>
      <c r="V75" s="1"/>
      <c r="W75" s="79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R76" s="1"/>
      <c r="S76" s="1"/>
      <c r="T76" s="1"/>
      <c r="U76" s="1"/>
      <c r="V76" s="1"/>
      <c r="W76" s="79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R77" s="1"/>
      <c r="S77" s="1"/>
      <c r="T77" s="1"/>
      <c r="U77" s="1"/>
      <c r="V77" s="1"/>
      <c r="W77" s="79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R78" s="1"/>
      <c r="S78" s="1"/>
      <c r="T78" s="1"/>
      <c r="U78" s="1"/>
      <c r="V78" s="1"/>
      <c r="W78" s="79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R79" s="1"/>
      <c r="S79" s="1"/>
      <c r="T79" s="1"/>
      <c r="U79" s="1"/>
      <c r="V79" s="1"/>
      <c r="W79" s="79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R80" s="1"/>
      <c r="S80" s="1"/>
      <c r="T80" s="1"/>
      <c r="U80" s="1"/>
      <c r="V80" s="1"/>
      <c r="W80" s="79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R81" s="1"/>
      <c r="S81" s="1"/>
      <c r="T81" s="1"/>
      <c r="U81" s="1"/>
      <c r="V81" s="1"/>
      <c r="W81" s="79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R82" s="1"/>
      <c r="S82" s="1"/>
      <c r="T82" s="1"/>
      <c r="U82" s="1"/>
      <c r="V82" s="1"/>
      <c r="W82" s="79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R83" s="1"/>
      <c r="S83" s="1"/>
      <c r="T83" s="1"/>
      <c r="U83" s="1"/>
      <c r="V83" s="1"/>
      <c r="W83" s="79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R84" s="1"/>
      <c r="S84" s="1"/>
      <c r="T84" s="1"/>
      <c r="U84" s="1"/>
      <c r="V84" s="1"/>
      <c r="W84" s="79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R85" s="1"/>
      <c r="S85" s="1"/>
      <c r="T85" s="1"/>
      <c r="U85" s="1"/>
      <c r="V85" s="1"/>
      <c r="W85" s="79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R86" s="1"/>
      <c r="S86" s="1"/>
      <c r="T86" s="1"/>
      <c r="U86" s="1"/>
      <c r="V86" s="1"/>
      <c r="W86" s="79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R87" s="1"/>
      <c r="S87" s="1"/>
      <c r="T87" s="1"/>
      <c r="U87" s="1"/>
      <c r="V87" s="1"/>
      <c r="W87" s="79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79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79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79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79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79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79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79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79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79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79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79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79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79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79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9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9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79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9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79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79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79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79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9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9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9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9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9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9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9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9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9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9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9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9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9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9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9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9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9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9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9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9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9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9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9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9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9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9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9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9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9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9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9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9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9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9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9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9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9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79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79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79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79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79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79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79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79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79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79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79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79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79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79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79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79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79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79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79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79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79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79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79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79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79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79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79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79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79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79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79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79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79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79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79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79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79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79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79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79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79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79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79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79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79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79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79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79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79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79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79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79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79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79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79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79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79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79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79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79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79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79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79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79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79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79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79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79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79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79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79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79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79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79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79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79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79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79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79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79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79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79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79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79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79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79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79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79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79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79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79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79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79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79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79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79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79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79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79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79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79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79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79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79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79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79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79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79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79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79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79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79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79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79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79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79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79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79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79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79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79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79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79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79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79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79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79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79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79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79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79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79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79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79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79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79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79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79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79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79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79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79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79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79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79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79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79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79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79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79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79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79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79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79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79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79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79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79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79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79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79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79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79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79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79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79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79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79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79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79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79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79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79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79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79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79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79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79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79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79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79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79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79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79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79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79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79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79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79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79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79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79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79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79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79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79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79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79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79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79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79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79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79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79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79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79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79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79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79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79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79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9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9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9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9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79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79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79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79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9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79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79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79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79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79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79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79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79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79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79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79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79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79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79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79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79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79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79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79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79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79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79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79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79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79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79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79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79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79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79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79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79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79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79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79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79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79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79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79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79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79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79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79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79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79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79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79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79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79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79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79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79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79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79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79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79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79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79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79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79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79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79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79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79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79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79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79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79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79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79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79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79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79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79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79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79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79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79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79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79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79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79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79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79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79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79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79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79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79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79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79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79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79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79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79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79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79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79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79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79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79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79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79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79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79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79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79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79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79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79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79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79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79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79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79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79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79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79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79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79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79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79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79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79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79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79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79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79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79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79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79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79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79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79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79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79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79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79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79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79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79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79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79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79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79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79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79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79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79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79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79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79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79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79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79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79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79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79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79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79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79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79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79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79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79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79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79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79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79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79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79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79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79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79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79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79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79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79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79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79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79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79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79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79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79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79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79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79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79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79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79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79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79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79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79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79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79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79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79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79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79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79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79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79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79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79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79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79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79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79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79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79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79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79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79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79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79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79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79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79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79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79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79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79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79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79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79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79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79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79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79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79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79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79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79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79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79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79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79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79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79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79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79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79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79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79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79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79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79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79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79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79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79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79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79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79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79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79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79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79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79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79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79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79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79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79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79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79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79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79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79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79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79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79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79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79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79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79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79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79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79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79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79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79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79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79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79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79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79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79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79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79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79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79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79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79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79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79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79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79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79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79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79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79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79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79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79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79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79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79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79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79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79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79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79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79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79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79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79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79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79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79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79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79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79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79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79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79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79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79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79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79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79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79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79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79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79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79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79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79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79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79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79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79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79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79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79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79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79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79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79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79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79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79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79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79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79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79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79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79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79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79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79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79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79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79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79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79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79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79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79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79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79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79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79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79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79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79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79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79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79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79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79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79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79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79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79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79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79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79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79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79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79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79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79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79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79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79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79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79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79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79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79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79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79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79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79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79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79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79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79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79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79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79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79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79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79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79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79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79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79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79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79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79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79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79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79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79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79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79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79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79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79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79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79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79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79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79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79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79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79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79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79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79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79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79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79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79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79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79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79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79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79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79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79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79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79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79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79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79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79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79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79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79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79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79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79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79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79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79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79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79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79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79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79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79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79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79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79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79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79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79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79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79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79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79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79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79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79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79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79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79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79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79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79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79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79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79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79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79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79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79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79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79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79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79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79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79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79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79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79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79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79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79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79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79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79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79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79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79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79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79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79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79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79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79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79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79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79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79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79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79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79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79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79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79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79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79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79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79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79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79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79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79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79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79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79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79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79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79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79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79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79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79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79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79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79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79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79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79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79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79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79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79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79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79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79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79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79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79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79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79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79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79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79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79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79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79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79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79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79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79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79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79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79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79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79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79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79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79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79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79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79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79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79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79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79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79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79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79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79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79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"/>
      <c r="U969" s="1"/>
      <c r="V969" s="1"/>
      <c r="W969" s="79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"/>
      <c r="U970" s="1"/>
      <c r="V970" s="1"/>
      <c r="W970" s="79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"/>
      <c r="U971" s="1"/>
      <c r="V971" s="1"/>
      <c r="W971" s="79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"/>
      <c r="U972" s="1"/>
      <c r="V972" s="1"/>
      <c r="W972" s="79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"/>
      <c r="U973" s="1"/>
      <c r="V973" s="1"/>
      <c r="W973" s="79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Q974" s="1"/>
      <c r="R974" s="1"/>
      <c r="S974" s="1"/>
      <c r="T974" s="1"/>
      <c r="U974" s="1"/>
      <c r="V974" s="1"/>
      <c r="W974" s="79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Q975" s="1"/>
      <c r="R975" s="1"/>
      <c r="S975" s="1"/>
      <c r="T975" s="1"/>
      <c r="U975" s="1"/>
      <c r="V975" s="1"/>
      <c r="W975" s="79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Q976" s="1"/>
      <c r="R976" s="1"/>
      <c r="S976" s="1"/>
      <c r="T976" s="1"/>
      <c r="U976" s="1"/>
      <c r="V976" s="1"/>
      <c r="W976" s="79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Q977" s="1"/>
      <c r="R977" s="1"/>
      <c r="S977" s="1"/>
      <c r="T977" s="1"/>
      <c r="U977" s="1"/>
      <c r="V977" s="1"/>
      <c r="W977" s="79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Q978" s="1"/>
      <c r="R978" s="1"/>
      <c r="S978" s="1"/>
      <c r="T978" s="1"/>
      <c r="U978" s="1"/>
      <c r="V978" s="1"/>
      <c r="W978" s="79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Q979" s="1"/>
      <c r="R979" s="1"/>
      <c r="S979" s="1"/>
      <c r="T979" s="1"/>
      <c r="U979" s="1"/>
      <c r="V979" s="1"/>
      <c r="W979" s="79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Q980" s="1"/>
      <c r="R980" s="1"/>
      <c r="S980" s="1"/>
      <c r="T980" s="1"/>
      <c r="U980" s="1"/>
      <c r="V980" s="1"/>
      <c r="W980" s="79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Q981" s="1"/>
      <c r="R981" s="1"/>
      <c r="S981" s="1"/>
      <c r="T981" s="1"/>
      <c r="U981" s="1"/>
      <c r="V981" s="1"/>
      <c r="W981" s="79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Q982" s="1"/>
      <c r="R982" s="1"/>
      <c r="S982" s="1"/>
      <c r="T982" s="1"/>
      <c r="U982" s="1"/>
      <c r="V982" s="1"/>
      <c r="W982" s="79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Q983" s="1"/>
      <c r="R983" s="1"/>
      <c r="S983" s="1"/>
      <c r="T983" s="1"/>
      <c r="U983" s="1"/>
      <c r="V983" s="1"/>
      <c r="W983" s="79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Q984" s="1"/>
      <c r="R984" s="1"/>
      <c r="S984" s="1"/>
      <c r="T984" s="1"/>
      <c r="U984" s="1"/>
      <c r="V984" s="1"/>
      <c r="W984" s="79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Q985" s="1"/>
      <c r="R985" s="1"/>
      <c r="S985" s="1"/>
      <c r="T985" s="1"/>
      <c r="U985" s="1"/>
      <c r="V985" s="1"/>
      <c r="W985" s="79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Q986" s="1"/>
      <c r="R986" s="1"/>
      <c r="S986" s="1"/>
      <c r="T986" s="1"/>
      <c r="U986" s="1"/>
      <c r="V986" s="1"/>
      <c r="W986" s="79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Q987" s="1"/>
      <c r="R987" s="1"/>
      <c r="S987" s="1"/>
      <c r="T987" s="1"/>
      <c r="U987" s="1"/>
      <c r="V987" s="1"/>
      <c r="W987" s="79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Q988" s="1"/>
      <c r="R988" s="1"/>
      <c r="S988" s="1"/>
      <c r="T988" s="1"/>
      <c r="U988" s="1"/>
      <c r="V988" s="1"/>
      <c r="W988" s="79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Q989" s="1"/>
      <c r="R989" s="1"/>
      <c r="S989" s="1"/>
      <c r="T989" s="1"/>
      <c r="U989" s="1"/>
      <c r="V989" s="1"/>
      <c r="W989" s="79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Q990" s="1"/>
      <c r="R990" s="1"/>
      <c r="S990" s="1"/>
      <c r="T990" s="1"/>
      <c r="U990" s="1"/>
      <c r="V990" s="1"/>
      <c r="W990" s="79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Q991" s="1"/>
      <c r="R991" s="1"/>
      <c r="S991" s="1"/>
      <c r="T991" s="1"/>
      <c r="U991" s="1"/>
      <c r="V991" s="1"/>
      <c r="W991" s="79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Q992" s="1"/>
      <c r="R992" s="1"/>
      <c r="S992" s="1"/>
      <c r="T992" s="1"/>
      <c r="U992" s="1"/>
      <c r="V992" s="1"/>
      <c r="W992" s="79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Q993" s="1"/>
      <c r="R993" s="1"/>
      <c r="S993" s="1"/>
      <c r="T993" s="1"/>
      <c r="U993" s="1"/>
      <c r="V993" s="1"/>
      <c r="W993" s="79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Q994" s="1"/>
      <c r="R994" s="1"/>
      <c r="S994" s="1"/>
      <c r="T994" s="1"/>
      <c r="U994" s="1"/>
      <c r="V994" s="1"/>
      <c r="W994" s="79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Q995" s="1"/>
      <c r="R995" s="1"/>
      <c r="W995" s="79"/>
      <c r="X995" s="1"/>
      <c r="Y995" s="1"/>
      <c r="Z995" s="1"/>
      <c r="AA995" s="1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37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8">
      <formula1>"Sales &amp; Marketing,General &amp; Admin,R&amp;D,Salaries &amp; Benefits,Other expenses"</formula1>
    </dataValidation>
    <dataValidation type="list" allowBlank="1" showErrorMessage="1" sqref="Q6:Q25 Q29:Q40">
      <formula1>"Australia,Germany,Singapore,United States,United Kingdom,China,South Korea,Japan,Hong Kong,Vietnam,Malaysia,India,Europe"</formula1>
    </dataValidation>
    <dataValidation type="list" allowBlank="1" showErrorMessage="1" sqref="C6:C8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8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6:R25 R29:R36">
      <formula1>"Business Space, Life Sciences,Industrial,Logistics,Data Centers,Retail,Office,Hi-Tech Buildings,Flatted Factories,Stack-up Buildings,Commercial"</formula1>
    </dataValidation>
  </dataValidations>
  <hyperlinks>
    <hyperlink r:id="rId1" ref="B1"/>
    <hyperlink r:id="rId2" ref="B2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0.88"/>
    <col customWidth="1" min="18" max="18" width="18.88"/>
    <col customWidth="1" min="19" max="19" width="26.5"/>
    <col customWidth="1" min="20" max="20" width="38.13"/>
    <col customWidth="1" min="21" max="27" width="26.5"/>
  </cols>
  <sheetData>
    <row r="1">
      <c r="A1" s="97" t="s">
        <v>0</v>
      </c>
      <c r="B1" s="138" t="s">
        <v>394</v>
      </c>
      <c r="C1" s="95"/>
      <c r="D1" s="3"/>
      <c r="E1" s="3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139"/>
      <c r="X1" s="95"/>
      <c r="Y1" s="95"/>
      <c r="Z1" s="95"/>
      <c r="AA1" s="95"/>
    </row>
    <row r="2">
      <c r="A2" s="97" t="s">
        <v>2</v>
      </c>
      <c r="B2" s="140" t="s">
        <v>395</v>
      </c>
      <c r="C2" s="95"/>
      <c r="D2" s="6" t="s">
        <v>4</v>
      </c>
      <c r="E2" s="84">
        <v>45657.0</v>
      </c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139"/>
      <c r="X2" s="95"/>
      <c r="Y2" s="96"/>
      <c r="Z2" s="96"/>
      <c r="AA2" s="96"/>
    </row>
    <row r="3">
      <c r="A3" s="97" t="s">
        <v>5</v>
      </c>
      <c r="B3" s="141" t="s">
        <v>6</v>
      </c>
      <c r="C3" s="95"/>
      <c r="D3" s="96"/>
      <c r="E3" s="96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142" t="s">
        <v>7</v>
      </c>
      <c r="R3" s="96"/>
      <c r="S3" s="95"/>
      <c r="T3" s="95"/>
      <c r="U3" s="95"/>
      <c r="V3" s="95"/>
      <c r="W3" s="139"/>
      <c r="X3" s="95"/>
      <c r="Y3" s="96"/>
      <c r="Z3" s="96"/>
      <c r="AA3" s="96"/>
    </row>
    <row r="4">
      <c r="A4" s="143"/>
      <c r="B4" s="144"/>
      <c r="C4" s="95"/>
      <c r="D4" s="143"/>
      <c r="E4" s="143"/>
      <c r="F4" s="95"/>
      <c r="G4" s="143"/>
      <c r="H4" s="143"/>
      <c r="I4" s="95"/>
      <c r="J4" s="95"/>
      <c r="K4" s="95"/>
      <c r="L4" s="95"/>
      <c r="M4" s="95"/>
      <c r="N4" s="97" t="s">
        <v>8</v>
      </c>
      <c r="O4" s="95"/>
      <c r="P4" s="95"/>
      <c r="Q4" s="145" t="s">
        <v>9</v>
      </c>
      <c r="R4" s="15"/>
      <c r="S4" s="15"/>
      <c r="T4" s="15"/>
      <c r="U4" s="15"/>
      <c r="V4" s="15"/>
      <c r="W4" s="16"/>
      <c r="X4" s="95"/>
      <c r="Y4" s="97" t="s">
        <v>10</v>
      </c>
      <c r="Z4" s="95"/>
      <c r="AA4" s="96"/>
    </row>
    <row r="5">
      <c r="A5" s="76" t="s">
        <v>11</v>
      </c>
      <c r="B5" s="146">
        <v>1.45268E8</v>
      </c>
      <c r="C5" s="147" t="s">
        <v>12</v>
      </c>
      <c r="D5" s="145" t="s">
        <v>13</v>
      </c>
      <c r="E5" s="16"/>
      <c r="F5" s="147" t="s">
        <v>14</v>
      </c>
      <c r="G5" s="148" t="s">
        <v>15</v>
      </c>
      <c r="H5" s="16"/>
      <c r="I5" s="95"/>
      <c r="J5" s="145" t="s">
        <v>16</v>
      </c>
      <c r="K5" s="15"/>
      <c r="L5" s="16"/>
      <c r="M5" s="95"/>
      <c r="N5" s="74" t="s">
        <v>17</v>
      </c>
      <c r="O5" s="72">
        <v>7.0827E7</v>
      </c>
      <c r="P5" s="95"/>
      <c r="Q5" s="149" t="s">
        <v>18</v>
      </c>
      <c r="R5" s="149" t="s">
        <v>19</v>
      </c>
      <c r="S5" s="149" t="s">
        <v>20</v>
      </c>
      <c r="T5" s="150" t="s">
        <v>21</v>
      </c>
      <c r="U5" s="151" t="s">
        <v>22</v>
      </c>
      <c r="V5" s="149" t="s">
        <v>23</v>
      </c>
      <c r="W5" s="152" t="s">
        <v>24</v>
      </c>
      <c r="X5" s="95"/>
      <c r="Y5" s="76" t="s">
        <v>25</v>
      </c>
      <c r="Z5" s="92"/>
      <c r="AA5" s="96"/>
    </row>
    <row r="6">
      <c r="A6" s="76" t="s">
        <v>26</v>
      </c>
      <c r="B6" s="146">
        <v>-8671000.0</v>
      </c>
      <c r="C6" s="147" t="s">
        <v>27</v>
      </c>
      <c r="D6" s="125" t="s">
        <v>396</v>
      </c>
      <c r="E6" s="146">
        <v>1.44848E8</v>
      </c>
      <c r="F6" s="147" t="s">
        <v>29</v>
      </c>
      <c r="G6" s="153" t="s">
        <v>30</v>
      </c>
      <c r="H6" s="146">
        <v>-1.4511E7</v>
      </c>
      <c r="I6" s="95"/>
      <c r="J6" s="125" t="s">
        <v>363</v>
      </c>
      <c r="K6" s="123" t="s">
        <v>169</v>
      </c>
      <c r="L6" s="124">
        <v>4.7</v>
      </c>
      <c r="M6" s="95"/>
      <c r="N6" s="74" t="s">
        <v>33</v>
      </c>
      <c r="O6" s="72">
        <v>2.48032E9</v>
      </c>
      <c r="P6" s="95"/>
      <c r="Q6" s="91"/>
      <c r="R6" s="91"/>
      <c r="S6" s="92"/>
      <c r="T6" s="93"/>
      <c r="U6" s="93"/>
      <c r="V6" s="92"/>
      <c r="W6" s="154"/>
      <c r="X6" s="95"/>
      <c r="Y6" s="76" t="s">
        <v>37</v>
      </c>
      <c r="Z6" s="92"/>
      <c r="AA6" s="96"/>
    </row>
    <row r="7">
      <c r="A7" s="76" t="s">
        <v>38</v>
      </c>
      <c r="B7" s="155">
        <f>sum(B5:B6)</f>
        <v>136597000</v>
      </c>
      <c r="C7" s="147" t="s">
        <v>27</v>
      </c>
      <c r="D7" s="153" t="s">
        <v>48</v>
      </c>
      <c r="E7" s="156">
        <v>420000.0</v>
      </c>
      <c r="F7" s="147" t="s">
        <v>29</v>
      </c>
      <c r="G7" s="153" t="s">
        <v>337</v>
      </c>
      <c r="H7" s="146">
        <v>-3569000.0</v>
      </c>
      <c r="I7" s="95"/>
      <c r="J7" s="125" t="s">
        <v>366</v>
      </c>
      <c r="K7" s="123" t="s">
        <v>165</v>
      </c>
      <c r="L7" s="124">
        <v>4.0</v>
      </c>
      <c r="M7" s="95"/>
      <c r="N7" s="76" t="s">
        <v>43</v>
      </c>
      <c r="O7" s="56">
        <f>sum(O5:O6)</f>
        <v>2551147000</v>
      </c>
      <c r="P7" s="95"/>
      <c r="Q7" s="91"/>
      <c r="R7" s="91"/>
      <c r="S7" s="92"/>
      <c r="T7" s="93"/>
      <c r="U7" s="93"/>
      <c r="V7" s="92"/>
      <c r="W7" s="154"/>
      <c r="X7" s="95"/>
      <c r="Y7" s="76" t="s">
        <v>46</v>
      </c>
      <c r="Z7" s="92"/>
      <c r="AA7" s="96"/>
    </row>
    <row r="8">
      <c r="A8" s="76" t="s">
        <v>47</v>
      </c>
      <c r="B8" s="146">
        <v>-1.808E7</v>
      </c>
      <c r="C8" s="147"/>
      <c r="D8" s="153"/>
      <c r="E8" s="146"/>
      <c r="F8" s="157"/>
      <c r="G8" s="158"/>
      <c r="H8" s="158"/>
      <c r="I8" s="95"/>
      <c r="J8" s="125" t="s">
        <v>368</v>
      </c>
      <c r="K8" s="123" t="s">
        <v>165</v>
      </c>
      <c r="L8" s="124">
        <v>3.2</v>
      </c>
      <c r="M8" s="95"/>
      <c r="N8" s="76" t="s">
        <v>51</v>
      </c>
      <c r="O8" s="72">
        <v>5.864E7</v>
      </c>
      <c r="P8" s="95"/>
      <c r="Q8" s="91"/>
      <c r="R8" s="91"/>
      <c r="S8" s="92"/>
      <c r="T8" s="93"/>
      <c r="U8" s="93"/>
      <c r="V8" s="92"/>
      <c r="W8" s="154"/>
      <c r="X8" s="95"/>
      <c r="Y8" s="76" t="s">
        <v>53</v>
      </c>
      <c r="Z8" s="56">
        <f>SUM(Z5:Z7)</f>
        <v>0</v>
      </c>
      <c r="AA8" s="96"/>
    </row>
    <row r="9">
      <c r="A9" s="76" t="s">
        <v>54</v>
      </c>
      <c r="B9" s="155">
        <f>sum(B7:B8)</f>
        <v>118517000</v>
      </c>
      <c r="C9" s="157"/>
      <c r="D9" s="158"/>
      <c r="E9" s="158"/>
      <c r="F9" s="157"/>
      <c r="G9" s="158"/>
      <c r="H9" s="158"/>
      <c r="I9" s="95"/>
      <c r="J9" s="125" t="s">
        <v>397</v>
      </c>
      <c r="K9" s="123" t="s">
        <v>165</v>
      </c>
      <c r="L9" s="124">
        <v>2.7</v>
      </c>
      <c r="M9" s="95"/>
      <c r="N9" s="76" t="s">
        <v>58</v>
      </c>
      <c r="O9" s="72">
        <v>9.22555E8</v>
      </c>
      <c r="P9" s="95"/>
      <c r="Q9" s="91"/>
      <c r="R9" s="91"/>
      <c r="S9" s="92"/>
      <c r="T9" s="93"/>
      <c r="U9" s="93"/>
      <c r="V9" s="92"/>
      <c r="W9" s="154"/>
      <c r="X9" s="95"/>
      <c r="Y9" s="96"/>
      <c r="Z9" s="96"/>
      <c r="AA9" s="96"/>
    </row>
    <row r="10">
      <c r="A10" s="76" t="s">
        <v>60</v>
      </c>
      <c r="B10" s="146">
        <f>1066000-12147000+7159000+5178000-18037000</f>
        <v>-16781000</v>
      </c>
      <c r="C10" s="157"/>
      <c r="D10" s="158"/>
      <c r="E10" s="158"/>
      <c r="F10" s="157"/>
      <c r="G10" s="158"/>
      <c r="H10" s="158"/>
      <c r="I10" s="95"/>
      <c r="J10" s="123" t="s">
        <v>372</v>
      </c>
      <c r="K10" s="126" t="s">
        <v>360</v>
      </c>
      <c r="L10" s="124">
        <v>2.3</v>
      </c>
      <c r="M10" s="95"/>
      <c r="N10" s="76" t="s">
        <v>64</v>
      </c>
      <c r="O10" s="56">
        <f>sum(O8:O9)</f>
        <v>981195000</v>
      </c>
      <c r="P10" s="95"/>
      <c r="Q10" s="91"/>
      <c r="R10" s="91"/>
      <c r="S10" s="92"/>
      <c r="T10" s="93"/>
      <c r="U10" s="93"/>
      <c r="V10" s="92"/>
      <c r="W10" s="154"/>
      <c r="X10" s="95"/>
      <c r="Y10" s="96"/>
      <c r="Z10" s="96"/>
      <c r="AA10" s="96"/>
    </row>
    <row r="11">
      <c r="A11" s="76" t="s">
        <v>67</v>
      </c>
      <c r="B11" s="155">
        <f>sum(B9:B10)</f>
        <v>101736000</v>
      </c>
      <c r="C11" s="157"/>
      <c r="D11" s="158"/>
      <c r="E11" s="158"/>
      <c r="F11" s="157"/>
      <c r="G11" s="158"/>
      <c r="H11" s="158"/>
      <c r="I11" s="95"/>
      <c r="J11" s="123" t="s">
        <v>180</v>
      </c>
      <c r="K11" s="126" t="s">
        <v>181</v>
      </c>
      <c r="L11" s="124">
        <v>2.3</v>
      </c>
      <c r="M11" s="96"/>
      <c r="N11" s="76" t="s">
        <v>70</v>
      </c>
      <c r="O11" s="56">
        <f>O7-O10</f>
        <v>1569952000</v>
      </c>
      <c r="P11" s="96"/>
      <c r="Q11" s="91"/>
      <c r="R11" s="91"/>
      <c r="S11" s="92"/>
      <c r="T11" s="93"/>
      <c r="U11" s="93"/>
      <c r="V11" s="92"/>
      <c r="W11" s="154"/>
      <c r="X11" s="95"/>
      <c r="Y11" s="96"/>
      <c r="Z11" s="96"/>
      <c r="AA11" s="96"/>
    </row>
    <row r="12">
      <c r="A12" s="76" t="s">
        <v>72</v>
      </c>
      <c r="B12" s="159">
        <v>-6695000.0</v>
      </c>
      <c r="C12" s="157"/>
      <c r="D12" s="158"/>
      <c r="E12" s="158"/>
      <c r="F12" s="157"/>
      <c r="G12" s="158"/>
      <c r="H12" s="158"/>
      <c r="I12" s="95"/>
      <c r="J12" s="123" t="s">
        <v>375</v>
      </c>
      <c r="K12" s="123" t="s">
        <v>165</v>
      </c>
      <c r="L12" s="124">
        <v>1.9</v>
      </c>
      <c r="M12" s="96"/>
      <c r="N12" s="96"/>
      <c r="O12" s="96"/>
      <c r="P12" s="96"/>
      <c r="Q12" s="91"/>
      <c r="R12" s="91"/>
      <c r="S12" s="92"/>
      <c r="T12" s="93"/>
      <c r="U12" s="93"/>
      <c r="V12" s="92"/>
      <c r="W12" s="154"/>
      <c r="X12" s="95"/>
      <c r="Y12" s="96"/>
      <c r="Z12" s="96"/>
      <c r="AA12" s="96"/>
    </row>
    <row r="13">
      <c r="A13" s="76" t="s">
        <v>76</v>
      </c>
      <c r="B13" s="155">
        <f>SUM(B11:B12)</f>
        <v>95041000</v>
      </c>
      <c r="C13" s="157"/>
      <c r="D13" s="158"/>
      <c r="E13" s="158"/>
      <c r="F13" s="157"/>
      <c r="G13" s="158"/>
      <c r="H13" s="158"/>
      <c r="I13" s="95"/>
      <c r="J13" s="126" t="s">
        <v>398</v>
      </c>
      <c r="K13" s="123" t="s">
        <v>165</v>
      </c>
      <c r="L13" s="124">
        <v>2.2</v>
      </c>
      <c r="M13" s="96"/>
      <c r="N13" s="76" t="s">
        <v>79</v>
      </c>
      <c r="O13" s="56">
        <f>O5-O8</f>
        <v>12187000</v>
      </c>
      <c r="P13" s="96"/>
      <c r="Q13" s="91"/>
      <c r="R13" s="91"/>
      <c r="S13" s="92"/>
      <c r="T13" s="93"/>
      <c r="U13" s="93"/>
      <c r="V13" s="92"/>
      <c r="W13" s="154"/>
      <c r="X13" s="95"/>
      <c r="Y13" s="96"/>
      <c r="Z13" s="96"/>
      <c r="AA13" s="96"/>
    </row>
    <row r="14">
      <c r="A14" s="76" t="s">
        <v>81</v>
      </c>
      <c r="B14" s="159">
        <v>0.0</v>
      </c>
      <c r="C14" s="157"/>
      <c r="D14" s="160"/>
      <c r="E14" s="158"/>
      <c r="F14" s="157"/>
      <c r="G14" s="158"/>
      <c r="H14" s="158"/>
      <c r="I14" s="95"/>
      <c r="J14" s="126" t="s">
        <v>379</v>
      </c>
      <c r="K14" s="123" t="s">
        <v>165</v>
      </c>
      <c r="L14" s="124">
        <v>1.6</v>
      </c>
      <c r="M14" s="96"/>
      <c r="N14" s="96"/>
      <c r="O14" s="96"/>
      <c r="P14" s="96"/>
      <c r="Q14" s="91"/>
      <c r="R14" s="91"/>
      <c r="S14" s="92"/>
      <c r="T14" s="93"/>
      <c r="U14" s="93"/>
      <c r="V14" s="92"/>
      <c r="W14" s="154"/>
      <c r="X14" s="95"/>
      <c r="Y14" s="96"/>
      <c r="Z14" s="96"/>
      <c r="AA14" s="96"/>
    </row>
    <row r="15">
      <c r="A15" s="76" t="s">
        <v>85</v>
      </c>
      <c r="B15" s="159">
        <v>0.0</v>
      </c>
      <c r="C15" s="157"/>
      <c r="D15" s="158"/>
      <c r="E15" s="158"/>
      <c r="F15" s="157"/>
      <c r="G15" s="158"/>
      <c r="H15" s="158"/>
      <c r="I15" s="95"/>
      <c r="J15" s="125" t="s">
        <v>399</v>
      </c>
      <c r="K15" s="123" t="s">
        <v>181</v>
      </c>
      <c r="L15" s="124">
        <v>1.4</v>
      </c>
      <c r="M15" s="95"/>
      <c r="N15" s="97" t="s">
        <v>87</v>
      </c>
      <c r="O15" s="96"/>
      <c r="P15" s="95"/>
      <c r="Q15" s="91"/>
      <c r="R15" s="91"/>
      <c r="S15" s="92"/>
      <c r="T15" s="93"/>
      <c r="U15" s="93"/>
      <c r="V15" s="92"/>
      <c r="W15" s="154"/>
      <c r="X15" s="95"/>
      <c r="Y15" s="96"/>
      <c r="Z15" s="96"/>
      <c r="AA15" s="96"/>
    </row>
    <row r="16">
      <c r="A16" s="76" t="s">
        <v>89</v>
      </c>
      <c r="B16" s="155">
        <f>SUM(B13:B15)</f>
        <v>95041000</v>
      </c>
      <c r="C16" s="157"/>
      <c r="D16" s="158"/>
      <c r="E16" s="158"/>
      <c r="F16" s="157"/>
      <c r="G16" s="158"/>
      <c r="H16" s="158"/>
      <c r="I16" s="95"/>
      <c r="J16" s="161" t="s">
        <v>90</v>
      </c>
      <c r="K16" s="162"/>
      <c r="L16" s="163">
        <f>SUM(L6:L15)</f>
        <v>26.3</v>
      </c>
      <c r="M16" s="95"/>
      <c r="N16" s="76" t="s">
        <v>91</v>
      </c>
      <c r="O16" s="72">
        <v>9.5786E7</v>
      </c>
      <c r="P16" s="95"/>
      <c r="Q16" s="91"/>
      <c r="R16" s="91"/>
      <c r="S16" s="92"/>
      <c r="T16" s="93"/>
      <c r="U16" s="93"/>
      <c r="V16" s="92"/>
      <c r="W16" s="154"/>
      <c r="X16" s="95"/>
      <c r="Y16" s="96"/>
      <c r="Z16" s="96"/>
      <c r="AA16" s="96"/>
    </row>
    <row r="17">
      <c r="A17" s="76" t="s">
        <v>93</v>
      </c>
      <c r="B17" s="164">
        <v>-1.2147E7</v>
      </c>
      <c r="C17" s="157"/>
      <c r="D17" s="160"/>
      <c r="E17" s="158"/>
      <c r="F17" s="157"/>
      <c r="G17" s="158"/>
      <c r="H17" s="158"/>
      <c r="I17" s="95"/>
      <c r="J17" s="95"/>
      <c r="K17" s="95"/>
      <c r="L17" s="95"/>
      <c r="M17" s="96"/>
      <c r="N17" s="76" t="s">
        <v>94</v>
      </c>
      <c r="O17" s="72">
        <v>-2.39934E8</v>
      </c>
      <c r="P17" s="95"/>
      <c r="Q17" s="91"/>
      <c r="R17" s="91"/>
      <c r="S17" s="92"/>
      <c r="T17" s="93"/>
      <c r="U17" s="93"/>
      <c r="V17" s="92"/>
      <c r="W17" s="154"/>
      <c r="X17" s="95"/>
      <c r="Y17" s="96"/>
      <c r="Z17" s="96"/>
      <c r="AA17" s="96"/>
    </row>
    <row r="18">
      <c r="A18" s="76" t="s">
        <v>96</v>
      </c>
      <c r="B18" s="56">
        <f>B11-B17</f>
        <v>113883000</v>
      </c>
      <c r="C18" s="157"/>
      <c r="D18" s="158"/>
      <c r="E18" s="158"/>
      <c r="F18" s="157"/>
      <c r="G18" s="158"/>
      <c r="H18" s="158"/>
      <c r="I18" s="95"/>
      <c r="J18" s="145" t="s">
        <v>97</v>
      </c>
      <c r="K18" s="15"/>
      <c r="L18" s="16"/>
      <c r="M18" s="95"/>
      <c r="N18" s="76" t="s">
        <v>98</v>
      </c>
      <c r="O18" s="72">
        <v>1.47354E8</v>
      </c>
      <c r="P18" s="95"/>
      <c r="Q18" s="91"/>
      <c r="R18" s="91"/>
      <c r="S18" s="92"/>
      <c r="T18" s="93"/>
      <c r="U18" s="93"/>
      <c r="V18" s="92"/>
      <c r="W18" s="154"/>
      <c r="X18" s="95"/>
      <c r="Y18" s="96"/>
      <c r="Z18" s="96"/>
      <c r="AA18" s="96"/>
    </row>
    <row r="19">
      <c r="A19" s="76" t="s">
        <v>100</v>
      </c>
      <c r="B19" s="165"/>
      <c r="C19" s="157"/>
      <c r="D19" s="158"/>
      <c r="E19" s="158"/>
      <c r="F19" s="157"/>
      <c r="G19" s="158"/>
      <c r="H19" s="158"/>
      <c r="I19" s="95"/>
      <c r="J19" s="123" t="s">
        <v>165</v>
      </c>
      <c r="K19" s="160"/>
      <c r="L19" s="166">
        <f>32.5+1.5</f>
        <v>34</v>
      </c>
      <c r="M19" s="95"/>
      <c r="N19" s="76" t="s">
        <v>101</v>
      </c>
      <c r="O19" s="56">
        <f>sum(O16:O18)</f>
        <v>3206000</v>
      </c>
      <c r="P19" s="95"/>
      <c r="Q19" s="91"/>
      <c r="R19" s="91"/>
      <c r="S19" s="92"/>
      <c r="T19" s="93"/>
      <c r="U19" s="93"/>
      <c r="V19" s="92"/>
      <c r="W19" s="154"/>
      <c r="X19" s="95"/>
      <c r="Y19" s="96"/>
      <c r="Z19" s="96"/>
      <c r="AA19" s="96"/>
    </row>
    <row r="20">
      <c r="A20" s="76" t="s">
        <v>103</v>
      </c>
      <c r="B20" s="56">
        <f>sum(B18:B19)</f>
        <v>113883000</v>
      </c>
      <c r="C20" s="157"/>
      <c r="D20" s="158"/>
      <c r="E20" s="158"/>
      <c r="F20" s="157"/>
      <c r="G20" s="158"/>
      <c r="H20" s="158"/>
      <c r="I20" s="95"/>
      <c r="J20" s="123" t="s">
        <v>57</v>
      </c>
      <c r="K20" s="160"/>
      <c r="L20" s="166">
        <f>15.7+3.3</f>
        <v>19</v>
      </c>
      <c r="M20" s="95"/>
      <c r="N20" s="95"/>
      <c r="O20" s="96"/>
      <c r="P20" s="95"/>
      <c r="Q20" s="91"/>
      <c r="R20" s="91"/>
      <c r="S20" s="92"/>
      <c r="T20" s="93"/>
      <c r="U20" s="93"/>
      <c r="V20" s="92"/>
      <c r="W20" s="154"/>
      <c r="X20" s="95"/>
      <c r="Y20" s="96"/>
      <c r="Z20" s="96"/>
      <c r="AA20" s="96"/>
    </row>
    <row r="21">
      <c r="A21" s="76" t="s">
        <v>105</v>
      </c>
      <c r="B21" s="92"/>
      <c r="C21" s="157"/>
      <c r="D21" s="158"/>
      <c r="E21" s="158"/>
      <c r="F21" s="157"/>
      <c r="G21" s="158"/>
      <c r="H21" s="158"/>
      <c r="I21" s="95"/>
      <c r="J21" s="123" t="s">
        <v>181</v>
      </c>
      <c r="K21" s="160"/>
      <c r="L21" s="166">
        <f>15.9+4.5</f>
        <v>20.4</v>
      </c>
      <c r="M21" s="95"/>
      <c r="N21" s="96"/>
      <c r="O21" s="96"/>
      <c r="P21" s="95"/>
      <c r="Q21" s="91"/>
      <c r="R21" s="91"/>
      <c r="S21" s="92"/>
      <c r="T21" s="93"/>
      <c r="U21" s="93"/>
      <c r="V21" s="92"/>
      <c r="W21" s="154"/>
      <c r="X21" s="95"/>
      <c r="Y21" s="96"/>
      <c r="Z21" s="96"/>
      <c r="AA21" s="96"/>
    </row>
    <row r="22">
      <c r="A22" s="76" t="s">
        <v>107</v>
      </c>
      <c r="B22" s="56">
        <f>B13-B19-B21</f>
        <v>95041000</v>
      </c>
      <c r="C22" s="157"/>
      <c r="D22" s="158"/>
      <c r="E22" s="158"/>
      <c r="F22" s="157"/>
      <c r="G22" s="158"/>
      <c r="H22" s="158"/>
      <c r="I22" s="95"/>
      <c r="J22" s="123" t="s">
        <v>112</v>
      </c>
      <c r="K22" s="160"/>
      <c r="L22" s="166">
        <f>0.6+5.2</f>
        <v>5.8</v>
      </c>
      <c r="M22" s="95"/>
      <c r="N22" s="96"/>
      <c r="O22" s="96"/>
      <c r="P22" s="96"/>
      <c r="Q22" s="91"/>
      <c r="R22" s="91"/>
      <c r="S22" s="92"/>
      <c r="T22" s="93"/>
      <c r="U22" s="93"/>
      <c r="V22" s="92"/>
      <c r="W22" s="154"/>
      <c r="X22" s="95"/>
      <c r="Y22" s="96"/>
      <c r="Z22" s="96"/>
      <c r="AA22" s="96"/>
    </row>
    <row r="23">
      <c r="A23" s="96"/>
      <c r="B23" s="96"/>
      <c r="C23" s="157"/>
      <c r="D23" s="158"/>
      <c r="E23" s="158"/>
      <c r="F23" s="157"/>
      <c r="G23" s="158"/>
      <c r="H23" s="158"/>
      <c r="I23" s="95"/>
      <c r="J23" s="125" t="s">
        <v>169</v>
      </c>
      <c r="K23" s="160"/>
      <c r="L23" s="166">
        <v>5.5</v>
      </c>
      <c r="M23" s="95"/>
      <c r="N23" s="96"/>
      <c r="O23" s="96"/>
      <c r="P23" s="96"/>
      <c r="Q23" s="91"/>
      <c r="R23" s="91"/>
      <c r="S23" s="92"/>
      <c r="T23" s="93"/>
      <c r="U23" s="93"/>
      <c r="V23" s="92"/>
      <c r="W23" s="154"/>
      <c r="X23" s="95"/>
      <c r="Y23" s="96"/>
      <c r="Z23" s="96"/>
      <c r="AA23" s="96"/>
    </row>
    <row r="24">
      <c r="A24" s="96"/>
      <c r="B24" s="96"/>
      <c r="C24" s="157"/>
      <c r="D24" s="158"/>
      <c r="E24" s="158"/>
      <c r="F24" s="157"/>
      <c r="G24" s="158"/>
      <c r="H24" s="158"/>
      <c r="I24" s="95"/>
      <c r="J24" s="125" t="s">
        <v>42</v>
      </c>
      <c r="K24" s="160"/>
      <c r="L24" s="166">
        <f>0.1+4.6</f>
        <v>4.7</v>
      </c>
      <c r="M24" s="95"/>
      <c r="N24" s="96"/>
      <c r="O24" s="96"/>
      <c r="P24" s="96"/>
      <c r="Q24" s="91"/>
      <c r="R24" s="91"/>
      <c r="S24" s="92"/>
      <c r="T24" s="93"/>
      <c r="U24" s="93"/>
      <c r="V24" s="92"/>
      <c r="W24" s="154"/>
      <c r="X24" s="95"/>
      <c r="Y24" s="96"/>
      <c r="Z24" s="96"/>
      <c r="AA24" s="96"/>
    </row>
    <row r="25">
      <c r="A25" s="96"/>
      <c r="B25" s="96"/>
      <c r="C25" s="157"/>
      <c r="D25" s="158"/>
      <c r="E25" s="158"/>
      <c r="F25" s="157"/>
      <c r="G25" s="158"/>
      <c r="H25" s="158"/>
      <c r="I25" s="95"/>
      <c r="J25" s="125" t="s">
        <v>360</v>
      </c>
      <c r="K25" s="160"/>
      <c r="L25" s="166">
        <f>0.9+1.1</f>
        <v>2</v>
      </c>
      <c r="M25" s="95"/>
      <c r="N25" s="96"/>
      <c r="O25" s="96"/>
      <c r="P25" s="96"/>
      <c r="Q25" s="91"/>
      <c r="R25" s="91"/>
      <c r="S25" s="92"/>
      <c r="T25" s="93"/>
      <c r="U25" s="93"/>
      <c r="V25" s="92"/>
      <c r="W25" s="154"/>
      <c r="X25" s="95"/>
      <c r="Y25" s="96"/>
      <c r="Z25" s="96"/>
      <c r="AA25" s="96"/>
    </row>
    <row r="26">
      <c r="A26" s="95"/>
      <c r="B26" s="95"/>
      <c r="C26" s="157"/>
      <c r="D26" s="158"/>
      <c r="E26" s="158"/>
      <c r="F26" s="157"/>
      <c r="G26" s="158"/>
      <c r="H26" s="158"/>
      <c r="I26" s="95"/>
      <c r="J26" s="125" t="s">
        <v>209</v>
      </c>
      <c r="K26" s="160"/>
      <c r="L26" s="166">
        <f>3.5+0.9</f>
        <v>4.4</v>
      </c>
      <c r="M26" s="95"/>
      <c r="N26" s="96"/>
      <c r="O26" s="96"/>
      <c r="P26" s="95"/>
      <c r="Q26" s="95"/>
      <c r="R26" s="95"/>
      <c r="S26" s="95"/>
      <c r="T26" s="95"/>
      <c r="U26" s="95"/>
      <c r="V26" s="95"/>
      <c r="W26" s="139"/>
      <c r="X26" s="95"/>
      <c r="Y26" s="96"/>
      <c r="Z26" s="96"/>
      <c r="AA26" s="96"/>
    </row>
    <row r="27">
      <c r="A27" s="95"/>
      <c r="B27" s="95"/>
      <c r="C27" s="157"/>
      <c r="D27" s="158"/>
      <c r="E27" s="158"/>
      <c r="F27" s="157"/>
      <c r="G27" s="158"/>
      <c r="H27" s="158"/>
      <c r="I27" s="95"/>
      <c r="J27" s="125" t="s">
        <v>108</v>
      </c>
      <c r="K27" s="160"/>
      <c r="L27" s="166">
        <f>0.7+3.5</f>
        <v>4.2</v>
      </c>
      <c r="M27" s="95"/>
      <c r="N27" s="96"/>
      <c r="O27" s="96"/>
      <c r="P27" s="95"/>
      <c r="Q27" s="167"/>
      <c r="R27" s="15"/>
      <c r="S27" s="15"/>
      <c r="T27" s="15"/>
      <c r="U27" s="15"/>
      <c r="V27" s="15"/>
      <c r="W27" s="16"/>
      <c r="X27" s="95"/>
      <c r="Y27" s="96"/>
      <c r="Z27" s="96"/>
      <c r="AA27" s="96"/>
    </row>
    <row r="28">
      <c r="A28" s="95"/>
      <c r="B28" s="95"/>
      <c r="C28" s="157"/>
      <c r="D28" s="158"/>
      <c r="E28" s="158"/>
      <c r="F28" s="157"/>
      <c r="G28" s="158"/>
      <c r="H28" s="158"/>
      <c r="I28" s="95"/>
      <c r="J28" s="160"/>
      <c r="K28" s="160"/>
      <c r="L28" s="168"/>
      <c r="M28" s="95"/>
      <c r="N28" s="96"/>
      <c r="O28" s="96"/>
      <c r="P28" s="95"/>
      <c r="Q28" s="91"/>
      <c r="R28" s="91"/>
      <c r="S28" s="91"/>
      <c r="T28" s="169"/>
      <c r="U28" s="169"/>
      <c r="V28" s="91"/>
      <c r="W28" s="94"/>
      <c r="X28" s="95"/>
      <c r="Y28" s="96"/>
      <c r="Z28" s="96"/>
      <c r="AA28" s="96"/>
    </row>
    <row r="29">
      <c r="A29" s="95"/>
      <c r="B29" s="95"/>
      <c r="C29" s="157"/>
      <c r="D29" s="158"/>
      <c r="E29" s="158"/>
      <c r="F29" s="157"/>
      <c r="G29" s="158"/>
      <c r="H29" s="158"/>
      <c r="I29" s="95"/>
      <c r="J29" s="161" t="s">
        <v>90</v>
      </c>
      <c r="K29" s="162"/>
      <c r="L29" s="170">
        <f>SUM(L19:L28)</f>
        <v>100</v>
      </c>
      <c r="M29" s="95"/>
      <c r="N29" s="96"/>
      <c r="O29" s="96"/>
      <c r="P29" s="95"/>
      <c r="Q29" s="91"/>
      <c r="R29" s="91"/>
      <c r="S29" s="92"/>
      <c r="T29" s="93"/>
      <c r="U29" s="93"/>
      <c r="V29" s="92"/>
      <c r="W29" s="154"/>
      <c r="X29" s="95"/>
      <c r="Y29" s="96"/>
      <c r="Z29" s="96"/>
      <c r="AA29" s="96"/>
    </row>
    <row r="30">
      <c r="A30" s="95"/>
      <c r="B30" s="95"/>
      <c r="C30" s="157"/>
      <c r="D30" s="147" t="s">
        <v>90</v>
      </c>
      <c r="E30" s="171">
        <f>SUM(E6:E29)</f>
        <v>145268000</v>
      </c>
      <c r="F30" s="157"/>
      <c r="G30" s="147" t="s">
        <v>90</v>
      </c>
      <c r="H30" s="171">
        <f>SUM(H6:H29)</f>
        <v>-18080000</v>
      </c>
      <c r="I30" s="95"/>
      <c r="J30" s="95"/>
      <c r="K30" s="95"/>
      <c r="L30" s="95"/>
      <c r="M30" s="95"/>
      <c r="N30" s="96"/>
      <c r="O30" s="96"/>
      <c r="P30" s="95"/>
      <c r="Q30" s="91"/>
      <c r="R30" s="91"/>
      <c r="S30" s="92"/>
      <c r="T30" s="93"/>
      <c r="U30" s="93"/>
      <c r="V30" s="92"/>
      <c r="W30" s="154"/>
      <c r="X30" s="95"/>
      <c r="Y30" s="96"/>
      <c r="Z30" s="96"/>
      <c r="AA30" s="96"/>
    </row>
    <row r="31">
      <c r="A31" s="95"/>
      <c r="B31" s="95"/>
      <c r="C31" s="157"/>
      <c r="D31" s="172" t="s">
        <v>116</v>
      </c>
      <c r="E31" s="173" t="str">
        <f>IF(B5=E30, "True", "False")</f>
        <v>True</v>
      </c>
      <c r="F31" s="157"/>
      <c r="G31" s="172" t="s">
        <v>116</v>
      </c>
      <c r="H31" s="173" t="str">
        <f>IF(B8=H30, "True", "False")</f>
        <v>True</v>
      </c>
      <c r="I31" s="95"/>
      <c r="J31" s="95"/>
      <c r="K31" s="95"/>
      <c r="L31" s="95"/>
      <c r="M31" s="95"/>
      <c r="N31" s="96"/>
      <c r="O31" s="96"/>
      <c r="P31" s="95"/>
      <c r="Q31" s="91"/>
      <c r="R31" s="91"/>
      <c r="S31" s="92"/>
      <c r="T31" s="93"/>
      <c r="U31" s="93"/>
      <c r="V31" s="92"/>
      <c r="W31" s="154"/>
      <c r="X31" s="95"/>
      <c r="Y31" s="96"/>
      <c r="Z31" s="96"/>
      <c r="AA31" s="96"/>
    </row>
    <row r="32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6"/>
      <c r="O32" s="96"/>
      <c r="P32" s="96"/>
      <c r="Q32" s="91"/>
      <c r="R32" s="91"/>
      <c r="S32" s="92"/>
      <c r="T32" s="93"/>
      <c r="U32" s="93"/>
      <c r="V32" s="92"/>
      <c r="W32" s="154"/>
      <c r="X32" s="95"/>
      <c r="Y32" s="95"/>
      <c r="Z32" s="95"/>
      <c r="AA32" s="95"/>
    </row>
    <row r="33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6"/>
      <c r="N33" s="95"/>
      <c r="O33" s="95"/>
      <c r="P33" s="96"/>
      <c r="Q33" s="91"/>
      <c r="R33" s="91"/>
      <c r="S33" s="92"/>
      <c r="T33" s="93"/>
      <c r="U33" s="93"/>
      <c r="V33" s="92"/>
      <c r="W33" s="154"/>
      <c r="X33" s="95"/>
      <c r="Y33" s="95"/>
      <c r="Z33" s="95"/>
      <c r="AA33" s="95"/>
    </row>
    <row r="34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6"/>
      <c r="N34" s="96"/>
      <c r="O34" s="96"/>
      <c r="P34" s="96"/>
      <c r="Q34" s="91"/>
      <c r="R34" s="91"/>
      <c r="S34" s="92"/>
      <c r="T34" s="93"/>
      <c r="U34" s="93"/>
      <c r="V34" s="92"/>
      <c r="W34" s="154"/>
      <c r="X34" s="95"/>
      <c r="Y34" s="95"/>
      <c r="Z34" s="95"/>
      <c r="AA34" s="95"/>
    </row>
    <row r="35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6"/>
      <c r="O35" s="96"/>
      <c r="P35" s="96"/>
      <c r="Q35" s="91"/>
      <c r="R35" s="91"/>
      <c r="S35" s="92"/>
      <c r="T35" s="93"/>
      <c r="U35" s="93"/>
      <c r="V35" s="92"/>
      <c r="W35" s="154"/>
      <c r="X35" s="95"/>
      <c r="Y35" s="95"/>
      <c r="Z35" s="95"/>
      <c r="AA35" s="95"/>
    </row>
    <row r="36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6"/>
      <c r="Q36" s="91"/>
      <c r="R36" s="91"/>
      <c r="S36" s="92"/>
      <c r="T36" s="93"/>
      <c r="U36" s="93"/>
      <c r="V36" s="92"/>
      <c r="W36" s="154"/>
      <c r="X36" s="95"/>
      <c r="Y36" s="95"/>
      <c r="Z36" s="95"/>
      <c r="AA36" s="95"/>
    </row>
    <row r="37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76" t="s">
        <v>119</v>
      </c>
      <c r="O37" s="91"/>
      <c r="P37" s="95"/>
      <c r="Q37" s="91"/>
      <c r="R37" s="91"/>
      <c r="S37" s="92"/>
      <c r="T37" s="93"/>
      <c r="U37" s="93"/>
      <c r="V37" s="92"/>
      <c r="W37" s="154"/>
      <c r="X37" s="95"/>
      <c r="Y37" s="95"/>
      <c r="Z37" s="95"/>
      <c r="AA37" s="95"/>
    </row>
    <row r="38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76" t="s">
        <v>120</v>
      </c>
      <c r="O38" s="91"/>
      <c r="P38" s="95"/>
      <c r="Q38" s="91"/>
      <c r="R38" s="91"/>
      <c r="S38" s="92"/>
      <c r="T38" s="93"/>
      <c r="U38" s="93"/>
      <c r="V38" s="92"/>
      <c r="W38" s="154"/>
      <c r="X38" s="95"/>
      <c r="Y38" s="95"/>
      <c r="Z38" s="95"/>
      <c r="AA38" s="95"/>
    </row>
    <row r="39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76" t="s">
        <v>121</v>
      </c>
      <c r="O39" s="91"/>
      <c r="P39" s="95"/>
      <c r="Q39" s="91"/>
      <c r="R39" s="91"/>
      <c r="S39" s="92"/>
      <c r="T39" s="93"/>
      <c r="U39" s="93"/>
      <c r="V39" s="92"/>
      <c r="W39" s="154"/>
      <c r="X39" s="95"/>
      <c r="Y39" s="95"/>
      <c r="Z39" s="95"/>
      <c r="AA39" s="95"/>
    </row>
    <row r="40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76" t="s">
        <v>122</v>
      </c>
      <c r="O40" s="72"/>
      <c r="P40" s="95"/>
      <c r="Q40" s="91"/>
      <c r="R40" s="91"/>
      <c r="S40" s="92"/>
      <c r="T40" s="93"/>
      <c r="U40" s="93"/>
      <c r="V40" s="92"/>
      <c r="W40" s="154"/>
      <c r="X40" s="95"/>
      <c r="Y40" s="95"/>
      <c r="Z40" s="95"/>
      <c r="AA40" s="95"/>
    </row>
    <row r="4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169"/>
      <c r="T41" s="174"/>
      <c r="U41" s="174"/>
      <c r="V41" s="174"/>
      <c r="W41" s="175"/>
      <c r="X41" s="95"/>
      <c r="Y41" s="95"/>
      <c r="Z41" s="95"/>
      <c r="AA41" s="95"/>
    </row>
    <row r="4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6"/>
      <c r="O42" s="97" t="s">
        <v>123</v>
      </c>
      <c r="P42" s="95"/>
      <c r="Q42" s="95"/>
      <c r="R42" s="95"/>
      <c r="S42" s="95"/>
      <c r="T42" s="95"/>
      <c r="U42" s="95"/>
      <c r="V42" s="95"/>
      <c r="W42" s="139"/>
      <c r="X42" s="95"/>
      <c r="Y42" s="95"/>
      <c r="Z42" s="95"/>
      <c r="AA42" s="95"/>
    </row>
    <row r="43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110" t="s">
        <v>124</v>
      </c>
      <c r="O43" s="72">
        <v>6.12897E8</v>
      </c>
      <c r="P43" s="95"/>
      <c r="Q43" s="95"/>
      <c r="R43" s="95"/>
      <c r="S43" s="95"/>
      <c r="T43" s="95"/>
      <c r="U43" s="95"/>
      <c r="V43" s="95"/>
      <c r="W43" s="139"/>
      <c r="X43" s="95"/>
      <c r="Y43" s="95"/>
      <c r="Z43" s="95"/>
      <c r="AA43" s="95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112" t="s">
        <v>125</v>
      </c>
      <c r="O44" s="72">
        <v>6.12897E8</v>
      </c>
      <c r="P44" s="95"/>
      <c r="Q44" s="95"/>
      <c r="R44" s="95"/>
      <c r="S44" s="95"/>
      <c r="T44" s="95"/>
      <c r="U44" s="95"/>
      <c r="V44" s="95"/>
      <c r="W44" s="139"/>
      <c r="X44" s="95"/>
      <c r="Y44" s="95"/>
      <c r="Z44" s="95"/>
      <c r="AA44" s="95"/>
    </row>
    <row r="4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8" t="s">
        <v>126</v>
      </c>
      <c r="O45" s="75">
        <v>1.36683E8</v>
      </c>
      <c r="P45" s="95"/>
      <c r="Q45" s="95"/>
      <c r="R45" s="95"/>
      <c r="S45" s="95"/>
      <c r="T45" s="95"/>
      <c r="U45" s="95"/>
      <c r="V45" s="95"/>
      <c r="W45" s="139"/>
      <c r="X45" s="95"/>
      <c r="Y45" s="95"/>
      <c r="Z45" s="95"/>
      <c r="AA45" s="95"/>
    </row>
    <row r="46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9" t="s">
        <v>127</v>
      </c>
      <c r="O46" s="75">
        <v>9.1419E7</v>
      </c>
      <c r="P46" s="95"/>
      <c r="Q46" s="95"/>
      <c r="R46" s="95"/>
      <c r="S46" s="95"/>
      <c r="T46" s="95"/>
      <c r="U46" s="95"/>
      <c r="V46" s="95"/>
      <c r="W46" s="139"/>
      <c r="X46" s="95"/>
      <c r="Y46" s="95"/>
      <c r="Z46" s="95"/>
      <c r="AA46" s="95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9" t="s">
        <v>128</v>
      </c>
      <c r="O47" s="75">
        <v>1.21121E8</v>
      </c>
      <c r="P47" s="95"/>
      <c r="Q47" s="95"/>
      <c r="R47" s="95"/>
      <c r="S47" s="95"/>
      <c r="T47" s="95"/>
      <c r="U47" s="95"/>
      <c r="V47" s="95"/>
      <c r="W47" s="139"/>
      <c r="X47" s="95"/>
      <c r="Y47" s="95"/>
      <c r="Z47" s="95"/>
      <c r="AA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9" t="s">
        <v>129</v>
      </c>
      <c r="O48" s="75">
        <v>1.5562E7</v>
      </c>
      <c r="P48" s="95"/>
      <c r="Q48" s="95"/>
      <c r="R48" s="95"/>
      <c r="S48" s="95"/>
      <c r="T48" s="95"/>
      <c r="U48" s="95"/>
      <c r="V48" s="95"/>
      <c r="W48" s="139"/>
      <c r="X48" s="95"/>
      <c r="Y48" s="95"/>
      <c r="Z48" s="95"/>
      <c r="AA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6"/>
      <c r="M49" s="96"/>
      <c r="N49" s="77" t="s">
        <v>130</v>
      </c>
      <c r="O49" s="75">
        <v>6.52371E8</v>
      </c>
      <c r="P49" s="96"/>
      <c r="Q49" s="96"/>
      <c r="R49" s="95"/>
      <c r="S49" s="95"/>
      <c r="T49" s="95"/>
      <c r="U49" s="95"/>
      <c r="V49" s="95"/>
      <c r="W49" s="139"/>
      <c r="X49" s="95"/>
      <c r="Y49" s="95"/>
      <c r="Z49" s="95"/>
      <c r="AA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6"/>
      <c r="M50" s="96"/>
      <c r="N50" s="77" t="s">
        <v>131</v>
      </c>
      <c r="O50" s="120">
        <v>0.0</v>
      </c>
      <c r="P50" s="96"/>
      <c r="Q50" s="96"/>
      <c r="R50" s="95"/>
      <c r="S50" s="95"/>
      <c r="T50" s="95"/>
      <c r="U50" s="95"/>
      <c r="V50" s="95"/>
      <c r="W50" s="139"/>
      <c r="X50" s="95"/>
      <c r="Y50" s="95"/>
      <c r="Z50" s="95"/>
      <c r="AA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6"/>
      <c r="M51" s="96"/>
      <c r="N51" s="96"/>
      <c r="O51" s="96"/>
      <c r="P51" s="96"/>
      <c r="Q51" s="96"/>
      <c r="R51" s="95"/>
      <c r="S51" s="95"/>
      <c r="T51" s="95"/>
      <c r="U51" s="95"/>
      <c r="V51" s="95"/>
      <c r="W51" s="139"/>
      <c r="X51" s="95"/>
      <c r="Y51" s="95"/>
      <c r="Z51" s="95"/>
      <c r="AA51" s="95"/>
    </row>
    <row r="5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6"/>
      <c r="M52" s="96"/>
      <c r="N52" s="96"/>
      <c r="O52" s="96"/>
      <c r="P52" s="96"/>
      <c r="Q52" s="96"/>
      <c r="R52" s="95"/>
      <c r="S52" s="95"/>
      <c r="T52" s="95"/>
      <c r="U52" s="95"/>
      <c r="V52" s="95"/>
      <c r="W52" s="139"/>
      <c r="X52" s="95"/>
      <c r="Y52" s="95"/>
      <c r="Z52" s="95"/>
      <c r="AA52" s="95"/>
    </row>
    <row r="5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6"/>
      <c r="M53" s="96"/>
      <c r="N53" s="96"/>
      <c r="O53" s="96"/>
      <c r="P53" s="96"/>
      <c r="Q53" s="96"/>
      <c r="R53" s="95"/>
      <c r="S53" s="95"/>
      <c r="T53" s="95"/>
      <c r="U53" s="95"/>
      <c r="V53" s="95"/>
      <c r="W53" s="139"/>
      <c r="X53" s="95"/>
      <c r="Y53" s="95"/>
      <c r="Z53" s="95"/>
      <c r="AA53" s="95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6"/>
      <c r="M54" s="96"/>
      <c r="N54" s="96"/>
      <c r="O54" s="96"/>
      <c r="P54" s="96"/>
      <c r="Q54" s="96"/>
      <c r="R54" s="95"/>
      <c r="S54" s="95"/>
      <c r="T54" s="95"/>
      <c r="U54" s="95"/>
      <c r="V54" s="95"/>
      <c r="W54" s="139"/>
      <c r="X54" s="95"/>
      <c r="Y54" s="95"/>
      <c r="Z54" s="95"/>
      <c r="AA54" s="95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6"/>
      <c r="M55" s="96"/>
      <c r="N55" s="96"/>
      <c r="O55" s="96"/>
      <c r="P55" s="96"/>
      <c r="Q55" s="96"/>
      <c r="R55" s="95"/>
      <c r="S55" s="95"/>
      <c r="T55" s="95"/>
      <c r="U55" s="95"/>
      <c r="V55" s="95"/>
      <c r="W55" s="139"/>
      <c r="X55" s="95"/>
      <c r="Y55" s="95"/>
      <c r="Z55" s="95"/>
      <c r="AA55" s="95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6"/>
      <c r="M56" s="96"/>
      <c r="N56" s="96"/>
      <c r="O56" s="96"/>
      <c r="P56" s="96"/>
      <c r="Q56" s="96"/>
      <c r="R56" s="95"/>
      <c r="S56" s="95"/>
      <c r="T56" s="95"/>
      <c r="U56" s="95"/>
      <c r="V56" s="95"/>
      <c r="W56" s="139"/>
      <c r="X56" s="95"/>
      <c r="Y56" s="95"/>
      <c r="Z56" s="95"/>
      <c r="AA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6"/>
      <c r="M57" s="96"/>
      <c r="N57" s="96"/>
      <c r="O57" s="96"/>
      <c r="P57" s="96"/>
      <c r="Q57" s="96"/>
      <c r="R57" s="95"/>
      <c r="S57" s="95"/>
      <c r="T57" s="95"/>
      <c r="U57" s="95"/>
      <c r="V57" s="95"/>
      <c r="W57" s="139"/>
      <c r="X57" s="95"/>
      <c r="Y57" s="95"/>
      <c r="Z57" s="95"/>
      <c r="AA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6"/>
      <c r="M58" s="96"/>
      <c r="N58" s="96"/>
      <c r="O58" s="96"/>
      <c r="P58" s="96"/>
      <c r="Q58" s="96"/>
      <c r="R58" s="95"/>
      <c r="S58" s="95"/>
      <c r="T58" s="95"/>
      <c r="U58" s="95"/>
      <c r="V58" s="95"/>
      <c r="W58" s="139"/>
      <c r="X58" s="95"/>
      <c r="Y58" s="95"/>
      <c r="Z58" s="95"/>
      <c r="AA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6"/>
      <c r="M59" s="96"/>
      <c r="N59" s="96"/>
      <c r="O59" s="96"/>
      <c r="P59" s="96"/>
      <c r="Q59" s="96"/>
      <c r="R59" s="95"/>
      <c r="S59" s="95"/>
      <c r="T59" s="95"/>
      <c r="U59" s="95"/>
      <c r="V59" s="95"/>
      <c r="W59" s="139"/>
      <c r="X59" s="95"/>
      <c r="Y59" s="95"/>
      <c r="Z59" s="95"/>
      <c r="AA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6"/>
      <c r="M60" s="96"/>
      <c r="N60" s="96"/>
      <c r="O60" s="96"/>
      <c r="P60" s="96"/>
      <c r="Q60" s="96"/>
      <c r="R60" s="95"/>
      <c r="S60" s="95"/>
      <c r="T60" s="95"/>
      <c r="U60" s="95"/>
      <c r="V60" s="95"/>
      <c r="W60" s="139"/>
      <c r="X60" s="95"/>
      <c r="Y60" s="95"/>
      <c r="Z60" s="95"/>
      <c r="AA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6"/>
      <c r="M61" s="96"/>
      <c r="N61" s="96"/>
      <c r="O61" s="96"/>
      <c r="P61" s="96"/>
      <c r="Q61" s="96"/>
      <c r="R61" s="95"/>
      <c r="S61" s="95"/>
      <c r="T61" s="95"/>
      <c r="U61" s="95"/>
      <c r="V61" s="95"/>
      <c r="W61" s="139"/>
      <c r="X61" s="95"/>
      <c r="Y61" s="95"/>
      <c r="Z61" s="95"/>
      <c r="AA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6"/>
      <c r="M62" s="96"/>
      <c r="N62" s="96"/>
      <c r="O62" s="96"/>
      <c r="P62" s="96"/>
      <c r="Q62" s="96"/>
      <c r="R62" s="95"/>
      <c r="S62" s="95"/>
      <c r="T62" s="95"/>
      <c r="U62" s="95"/>
      <c r="V62" s="95"/>
      <c r="W62" s="139"/>
      <c r="X62" s="95"/>
      <c r="Y62" s="95"/>
      <c r="Z62" s="95"/>
      <c r="AA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6"/>
      <c r="M63" s="96"/>
      <c r="N63" s="96"/>
      <c r="O63" s="96"/>
      <c r="P63" s="96"/>
      <c r="Q63" s="96"/>
      <c r="R63" s="95"/>
      <c r="S63" s="95"/>
      <c r="T63" s="95"/>
      <c r="U63" s="95"/>
      <c r="V63" s="95"/>
      <c r="W63" s="139"/>
      <c r="X63" s="95"/>
      <c r="Y63" s="95"/>
      <c r="Z63" s="95"/>
      <c r="AA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6"/>
      <c r="M64" s="96"/>
      <c r="N64" s="96"/>
      <c r="O64" s="96"/>
      <c r="P64" s="96"/>
      <c r="Q64" s="96"/>
      <c r="R64" s="95"/>
      <c r="S64" s="95"/>
      <c r="T64" s="95"/>
      <c r="U64" s="95"/>
      <c r="V64" s="95"/>
      <c r="W64" s="139"/>
      <c r="X64" s="95"/>
      <c r="Y64" s="95"/>
      <c r="Z64" s="95"/>
      <c r="AA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6"/>
      <c r="M65" s="96"/>
      <c r="N65" s="96"/>
      <c r="O65" s="96"/>
      <c r="P65" s="96"/>
      <c r="Q65" s="96"/>
      <c r="R65" s="95"/>
      <c r="S65" s="95"/>
      <c r="T65" s="95"/>
      <c r="U65" s="95"/>
      <c r="V65" s="95"/>
      <c r="W65" s="139"/>
      <c r="X65" s="95"/>
      <c r="Y65" s="95"/>
      <c r="Z65" s="95"/>
      <c r="AA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6"/>
      <c r="M66" s="96"/>
      <c r="N66" s="96"/>
      <c r="O66" s="96"/>
      <c r="P66" s="96"/>
      <c r="Q66" s="95"/>
      <c r="R66" s="95"/>
      <c r="S66" s="95"/>
      <c r="T66" s="95"/>
      <c r="U66" s="95"/>
      <c r="V66" s="95"/>
      <c r="W66" s="139"/>
      <c r="X66" s="95"/>
      <c r="Y66" s="95"/>
      <c r="Z66" s="95"/>
      <c r="AA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6"/>
      <c r="M67" s="96"/>
      <c r="N67" s="96"/>
      <c r="O67" s="96"/>
      <c r="P67" s="96"/>
      <c r="Q67" s="95"/>
      <c r="R67" s="95"/>
      <c r="S67" s="95"/>
      <c r="T67" s="95"/>
      <c r="U67" s="95"/>
      <c r="V67" s="95"/>
      <c r="W67" s="139"/>
      <c r="X67" s="95"/>
      <c r="Y67" s="95"/>
      <c r="Z67" s="95"/>
      <c r="AA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6"/>
      <c r="M68" s="96"/>
      <c r="N68" s="96"/>
      <c r="O68" s="96"/>
      <c r="P68" s="96"/>
      <c r="Q68" s="95"/>
      <c r="R68" s="95"/>
      <c r="S68" s="95"/>
      <c r="T68" s="95"/>
      <c r="U68" s="95"/>
      <c r="V68" s="95"/>
      <c r="W68" s="139"/>
      <c r="X68" s="95"/>
      <c r="Y68" s="95"/>
      <c r="Z68" s="95"/>
      <c r="AA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6"/>
      <c r="M69" s="96"/>
      <c r="N69" s="96"/>
      <c r="O69" s="96"/>
      <c r="P69" s="96"/>
      <c r="Q69" s="95"/>
      <c r="R69" s="95"/>
      <c r="S69" s="95"/>
      <c r="T69" s="95"/>
      <c r="U69" s="95"/>
      <c r="V69" s="95"/>
      <c r="W69" s="139"/>
      <c r="X69" s="95"/>
      <c r="Y69" s="95"/>
      <c r="Z69" s="95"/>
      <c r="AA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6"/>
      <c r="M70" s="96"/>
      <c r="N70" s="96"/>
      <c r="O70" s="96"/>
      <c r="P70" s="96"/>
      <c r="Q70" s="95"/>
      <c r="R70" s="95"/>
      <c r="S70" s="95"/>
      <c r="T70" s="95"/>
      <c r="U70" s="95"/>
      <c r="V70" s="95"/>
      <c r="W70" s="139"/>
      <c r="X70" s="95"/>
      <c r="Y70" s="95"/>
      <c r="Z70" s="95"/>
      <c r="AA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6"/>
      <c r="M71" s="96"/>
      <c r="N71" s="96"/>
      <c r="O71" s="96"/>
      <c r="P71" s="96"/>
      <c r="Q71" s="95"/>
      <c r="R71" s="95"/>
      <c r="S71" s="95"/>
      <c r="T71" s="95"/>
      <c r="U71" s="95"/>
      <c r="V71" s="95"/>
      <c r="W71" s="139"/>
      <c r="X71" s="95"/>
      <c r="Y71" s="95"/>
      <c r="Z71" s="95"/>
      <c r="AA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6"/>
      <c r="M72" s="96"/>
      <c r="N72" s="96"/>
      <c r="O72" s="96"/>
      <c r="P72" s="96"/>
      <c r="Q72" s="95"/>
      <c r="R72" s="95"/>
      <c r="S72" s="95"/>
      <c r="T72" s="95"/>
      <c r="U72" s="95"/>
      <c r="V72" s="95"/>
      <c r="W72" s="139"/>
      <c r="X72" s="95"/>
      <c r="Y72" s="95"/>
      <c r="Z72" s="95"/>
      <c r="AA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6"/>
      <c r="N73" s="96"/>
      <c r="O73" s="96"/>
      <c r="P73" s="96"/>
      <c r="Q73" s="95"/>
      <c r="R73" s="95"/>
      <c r="S73" s="95"/>
      <c r="T73" s="95"/>
      <c r="U73" s="95"/>
      <c r="V73" s="95"/>
      <c r="W73" s="139"/>
      <c r="X73" s="95"/>
      <c r="Y73" s="95"/>
      <c r="Z73" s="95"/>
      <c r="AA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6"/>
      <c r="N74" s="96"/>
      <c r="O74" s="96"/>
      <c r="P74" s="96"/>
      <c r="Q74" s="95"/>
      <c r="R74" s="95"/>
      <c r="S74" s="95"/>
      <c r="T74" s="95"/>
      <c r="U74" s="95"/>
      <c r="V74" s="95"/>
      <c r="W74" s="139"/>
      <c r="X74" s="95"/>
      <c r="Y74" s="95"/>
      <c r="Z74" s="95"/>
      <c r="AA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6"/>
      <c r="N75" s="96"/>
      <c r="O75" s="96"/>
      <c r="P75" s="96"/>
      <c r="Q75" s="95"/>
      <c r="R75" s="95"/>
      <c r="S75" s="95"/>
      <c r="T75" s="95"/>
      <c r="U75" s="95"/>
      <c r="V75" s="95"/>
      <c r="W75" s="139"/>
      <c r="X75" s="95"/>
      <c r="Y75" s="95"/>
      <c r="Z75" s="95"/>
      <c r="AA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6"/>
      <c r="N76" s="96"/>
      <c r="O76" s="96"/>
      <c r="P76" s="96"/>
      <c r="Q76" s="95"/>
      <c r="R76" s="95"/>
      <c r="S76" s="95"/>
      <c r="T76" s="95"/>
      <c r="U76" s="95"/>
      <c r="V76" s="95"/>
      <c r="W76" s="139"/>
      <c r="X76" s="95"/>
      <c r="Y76" s="95"/>
      <c r="Z76" s="95"/>
      <c r="AA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6"/>
      <c r="N77" s="96"/>
      <c r="O77" s="96"/>
      <c r="P77" s="96"/>
      <c r="Q77" s="95"/>
      <c r="R77" s="95"/>
      <c r="S77" s="95"/>
      <c r="T77" s="95"/>
      <c r="U77" s="95"/>
      <c r="V77" s="95"/>
      <c r="W77" s="139"/>
      <c r="X77" s="95"/>
      <c r="Y77" s="95"/>
      <c r="Z77" s="95"/>
      <c r="AA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6"/>
      <c r="N78" s="96"/>
      <c r="O78" s="96"/>
      <c r="P78" s="96"/>
      <c r="Q78" s="95"/>
      <c r="R78" s="95"/>
      <c r="S78" s="95"/>
      <c r="T78" s="95"/>
      <c r="U78" s="95"/>
      <c r="V78" s="95"/>
      <c r="W78" s="139"/>
      <c r="X78" s="95"/>
      <c r="Y78" s="95"/>
      <c r="Z78" s="95"/>
      <c r="AA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6"/>
      <c r="N79" s="96"/>
      <c r="O79" s="96"/>
      <c r="P79" s="96"/>
      <c r="Q79" s="95"/>
      <c r="R79" s="95"/>
      <c r="S79" s="95"/>
      <c r="T79" s="95"/>
      <c r="U79" s="95"/>
      <c r="V79" s="95"/>
      <c r="W79" s="139"/>
      <c r="X79" s="95"/>
      <c r="Y79" s="95"/>
      <c r="Z79" s="95"/>
      <c r="AA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6"/>
      <c r="N80" s="96"/>
      <c r="O80" s="96"/>
      <c r="P80" s="96"/>
      <c r="Q80" s="95"/>
      <c r="R80" s="95"/>
      <c r="S80" s="95"/>
      <c r="T80" s="95"/>
      <c r="U80" s="95"/>
      <c r="V80" s="95"/>
      <c r="W80" s="139"/>
      <c r="X80" s="95"/>
      <c r="Y80" s="95"/>
      <c r="Z80" s="95"/>
      <c r="AA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6"/>
      <c r="N81" s="96"/>
      <c r="O81" s="96"/>
      <c r="P81" s="96"/>
      <c r="Q81" s="95"/>
      <c r="R81" s="95"/>
      <c r="S81" s="95"/>
      <c r="T81" s="95"/>
      <c r="U81" s="95"/>
      <c r="V81" s="95"/>
      <c r="W81" s="139"/>
      <c r="X81" s="95"/>
      <c r="Y81" s="95"/>
      <c r="Z81" s="95"/>
      <c r="AA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6"/>
      <c r="N82" s="96"/>
      <c r="O82" s="96"/>
      <c r="P82" s="96"/>
      <c r="Q82" s="95"/>
      <c r="R82" s="95"/>
      <c r="S82" s="95"/>
      <c r="T82" s="95"/>
      <c r="U82" s="95"/>
      <c r="V82" s="95"/>
      <c r="W82" s="139"/>
      <c r="X82" s="95"/>
      <c r="Y82" s="95"/>
      <c r="Z82" s="95"/>
      <c r="AA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6"/>
      <c r="N83" s="96"/>
      <c r="O83" s="96"/>
      <c r="P83" s="96"/>
      <c r="Q83" s="95"/>
      <c r="R83" s="95"/>
      <c r="S83" s="95"/>
      <c r="T83" s="95"/>
      <c r="U83" s="95"/>
      <c r="V83" s="95"/>
      <c r="W83" s="139"/>
      <c r="X83" s="95"/>
      <c r="Y83" s="95"/>
      <c r="Z83" s="95"/>
      <c r="AA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139"/>
      <c r="X84" s="95"/>
      <c r="Y84" s="95"/>
      <c r="Z84" s="95"/>
      <c r="AA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139"/>
      <c r="X85" s="95"/>
      <c r="Y85" s="95"/>
      <c r="Z85" s="95"/>
      <c r="AA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139"/>
      <c r="X86" s="95"/>
      <c r="Y86" s="95"/>
      <c r="Z86" s="95"/>
      <c r="AA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139"/>
      <c r="X87" s="95"/>
      <c r="Y87" s="95"/>
      <c r="Z87" s="95"/>
      <c r="AA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139"/>
      <c r="X88" s="95"/>
      <c r="Y88" s="95"/>
      <c r="Z88" s="95"/>
      <c r="AA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139"/>
      <c r="X89" s="95"/>
      <c r="Y89" s="95"/>
      <c r="Z89" s="95"/>
      <c r="AA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139"/>
      <c r="X90" s="95"/>
      <c r="Y90" s="95"/>
      <c r="Z90" s="95"/>
      <c r="AA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139"/>
      <c r="X91" s="95"/>
      <c r="Y91" s="95"/>
      <c r="Z91" s="95"/>
      <c r="AA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139"/>
      <c r="X92" s="95"/>
      <c r="Y92" s="95"/>
      <c r="Z92" s="95"/>
      <c r="AA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139"/>
      <c r="X93" s="95"/>
      <c r="Y93" s="95"/>
      <c r="Z93" s="95"/>
      <c r="AA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139"/>
      <c r="X94" s="95"/>
      <c r="Y94" s="95"/>
      <c r="Z94" s="95"/>
      <c r="AA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139"/>
      <c r="X95" s="95"/>
      <c r="Y95" s="95"/>
      <c r="Z95" s="95"/>
      <c r="AA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139"/>
      <c r="X96" s="95"/>
      <c r="Y96" s="95"/>
      <c r="Z96" s="95"/>
      <c r="AA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139"/>
      <c r="X97" s="95"/>
      <c r="Y97" s="95"/>
      <c r="Z97" s="95"/>
      <c r="AA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139"/>
      <c r="X98" s="95"/>
      <c r="Y98" s="95"/>
      <c r="Z98" s="95"/>
      <c r="AA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139"/>
      <c r="X99" s="95"/>
      <c r="Y99" s="95"/>
      <c r="Z99" s="95"/>
      <c r="AA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139"/>
      <c r="X100" s="95"/>
      <c r="Y100" s="95"/>
      <c r="Z100" s="95"/>
      <c r="AA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139"/>
      <c r="X101" s="95"/>
      <c r="Y101" s="95"/>
      <c r="Z101" s="95"/>
      <c r="AA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139"/>
      <c r="X102" s="95"/>
      <c r="Y102" s="95"/>
      <c r="Z102" s="95"/>
      <c r="AA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139"/>
      <c r="X103" s="95"/>
      <c r="Y103" s="95"/>
      <c r="Z103" s="95"/>
      <c r="AA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139"/>
      <c r="X104" s="95"/>
      <c r="Y104" s="95"/>
      <c r="Z104" s="95"/>
      <c r="AA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139"/>
      <c r="X105" s="95"/>
      <c r="Y105" s="95"/>
      <c r="Z105" s="95"/>
      <c r="AA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139"/>
      <c r="X106" s="95"/>
      <c r="Y106" s="95"/>
      <c r="Z106" s="95"/>
      <c r="AA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139"/>
      <c r="X107" s="95"/>
      <c r="Y107" s="95"/>
      <c r="Z107" s="95"/>
      <c r="AA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139"/>
      <c r="X108" s="95"/>
      <c r="Y108" s="95"/>
      <c r="Z108" s="95"/>
      <c r="AA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139"/>
      <c r="X109" s="95"/>
      <c r="Y109" s="95"/>
      <c r="Z109" s="95"/>
      <c r="AA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139"/>
      <c r="X110" s="95"/>
      <c r="Y110" s="95"/>
      <c r="Z110" s="95"/>
      <c r="AA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139"/>
      <c r="X111" s="95"/>
      <c r="Y111" s="95"/>
      <c r="Z111" s="95"/>
      <c r="AA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139"/>
      <c r="X112" s="95"/>
      <c r="Y112" s="95"/>
      <c r="Z112" s="95"/>
      <c r="AA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139"/>
      <c r="X113" s="95"/>
      <c r="Y113" s="95"/>
      <c r="Z113" s="95"/>
      <c r="AA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139"/>
      <c r="X114" s="95"/>
      <c r="Y114" s="95"/>
      <c r="Z114" s="95"/>
      <c r="AA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139"/>
      <c r="X115" s="95"/>
      <c r="Y115" s="95"/>
      <c r="Z115" s="95"/>
      <c r="AA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139"/>
      <c r="X116" s="95"/>
      <c r="Y116" s="95"/>
      <c r="Z116" s="95"/>
      <c r="AA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139"/>
      <c r="X117" s="95"/>
      <c r="Y117" s="95"/>
      <c r="Z117" s="95"/>
      <c r="AA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139"/>
      <c r="X118" s="95"/>
      <c r="Y118" s="95"/>
      <c r="Z118" s="95"/>
      <c r="AA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139"/>
      <c r="X119" s="95"/>
      <c r="Y119" s="95"/>
      <c r="Z119" s="95"/>
      <c r="AA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139"/>
      <c r="X120" s="95"/>
      <c r="Y120" s="95"/>
      <c r="Z120" s="95"/>
      <c r="AA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139"/>
      <c r="X121" s="95"/>
      <c r="Y121" s="95"/>
      <c r="Z121" s="95"/>
      <c r="AA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139"/>
      <c r="X122" s="95"/>
      <c r="Y122" s="95"/>
      <c r="Z122" s="95"/>
      <c r="AA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139"/>
      <c r="X123" s="95"/>
      <c r="Y123" s="95"/>
      <c r="Z123" s="95"/>
      <c r="AA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139"/>
      <c r="X124" s="95"/>
      <c r="Y124" s="95"/>
      <c r="Z124" s="95"/>
      <c r="AA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139"/>
      <c r="X125" s="95"/>
      <c r="Y125" s="95"/>
      <c r="Z125" s="95"/>
      <c r="AA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139"/>
      <c r="X126" s="95"/>
      <c r="Y126" s="95"/>
      <c r="Z126" s="95"/>
      <c r="AA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139"/>
      <c r="X127" s="95"/>
      <c r="Y127" s="95"/>
      <c r="Z127" s="95"/>
      <c r="AA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139"/>
      <c r="X128" s="95"/>
      <c r="Y128" s="95"/>
      <c r="Z128" s="95"/>
      <c r="AA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139"/>
      <c r="X129" s="95"/>
      <c r="Y129" s="95"/>
      <c r="Z129" s="95"/>
      <c r="AA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139"/>
      <c r="X130" s="95"/>
      <c r="Y130" s="95"/>
      <c r="Z130" s="95"/>
      <c r="AA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139"/>
      <c r="X131" s="95"/>
      <c r="Y131" s="95"/>
      <c r="Z131" s="95"/>
      <c r="AA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139"/>
      <c r="X132" s="95"/>
      <c r="Y132" s="95"/>
      <c r="Z132" s="95"/>
      <c r="AA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139"/>
      <c r="X133" s="95"/>
      <c r="Y133" s="95"/>
      <c r="Z133" s="95"/>
      <c r="AA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139"/>
      <c r="X134" s="95"/>
      <c r="Y134" s="95"/>
      <c r="Z134" s="95"/>
      <c r="AA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139"/>
      <c r="X135" s="95"/>
      <c r="Y135" s="95"/>
      <c r="Z135" s="95"/>
      <c r="AA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139"/>
      <c r="X136" s="95"/>
      <c r="Y136" s="95"/>
      <c r="Z136" s="95"/>
      <c r="AA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139"/>
      <c r="X137" s="95"/>
      <c r="Y137" s="95"/>
      <c r="Z137" s="95"/>
      <c r="AA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139"/>
      <c r="X138" s="95"/>
      <c r="Y138" s="95"/>
      <c r="Z138" s="95"/>
      <c r="AA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139"/>
      <c r="X139" s="95"/>
      <c r="Y139" s="95"/>
      <c r="Z139" s="95"/>
      <c r="AA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139"/>
      <c r="X140" s="95"/>
      <c r="Y140" s="95"/>
      <c r="Z140" s="95"/>
      <c r="AA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139"/>
      <c r="X141" s="95"/>
      <c r="Y141" s="95"/>
      <c r="Z141" s="95"/>
      <c r="AA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139"/>
      <c r="X142" s="95"/>
      <c r="Y142" s="95"/>
      <c r="Z142" s="95"/>
      <c r="AA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139"/>
      <c r="X143" s="95"/>
      <c r="Y143" s="95"/>
      <c r="Z143" s="95"/>
      <c r="AA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139"/>
      <c r="X144" s="95"/>
      <c r="Y144" s="95"/>
      <c r="Z144" s="95"/>
      <c r="AA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139"/>
      <c r="X145" s="95"/>
      <c r="Y145" s="95"/>
      <c r="Z145" s="95"/>
      <c r="AA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139"/>
      <c r="X146" s="95"/>
      <c r="Y146" s="95"/>
      <c r="Z146" s="95"/>
      <c r="AA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139"/>
      <c r="X147" s="95"/>
      <c r="Y147" s="95"/>
      <c r="Z147" s="95"/>
      <c r="AA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139"/>
      <c r="X148" s="95"/>
      <c r="Y148" s="95"/>
      <c r="Z148" s="95"/>
      <c r="AA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139"/>
      <c r="X149" s="95"/>
      <c r="Y149" s="95"/>
      <c r="Z149" s="95"/>
      <c r="AA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139"/>
      <c r="X150" s="95"/>
      <c r="Y150" s="95"/>
      <c r="Z150" s="95"/>
      <c r="AA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139"/>
      <c r="X151" s="95"/>
      <c r="Y151" s="95"/>
      <c r="Z151" s="95"/>
      <c r="AA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139"/>
      <c r="X152" s="95"/>
      <c r="Y152" s="95"/>
      <c r="Z152" s="95"/>
      <c r="AA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139"/>
      <c r="X153" s="95"/>
      <c r="Y153" s="95"/>
      <c r="Z153" s="95"/>
      <c r="AA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139"/>
      <c r="X154" s="95"/>
      <c r="Y154" s="95"/>
      <c r="Z154" s="95"/>
      <c r="AA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139"/>
      <c r="X155" s="95"/>
      <c r="Y155" s="95"/>
      <c r="Z155" s="95"/>
      <c r="AA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139"/>
      <c r="X156" s="95"/>
      <c r="Y156" s="95"/>
      <c r="Z156" s="95"/>
      <c r="AA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139"/>
      <c r="X157" s="95"/>
      <c r="Y157" s="95"/>
      <c r="Z157" s="95"/>
      <c r="AA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139"/>
      <c r="X158" s="95"/>
      <c r="Y158" s="95"/>
      <c r="Z158" s="95"/>
      <c r="AA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139"/>
      <c r="X159" s="95"/>
      <c r="Y159" s="95"/>
      <c r="Z159" s="95"/>
      <c r="AA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139"/>
      <c r="X160" s="95"/>
      <c r="Y160" s="95"/>
      <c r="Z160" s="95"/>
      <c r="AA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139"/>
      <c r="X161" s="95"/>
      <c r="Y161" s="95"/>
      <c r="Z161" s="95"/>
      <c r="AA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139"/>
      <c r="X162" s="95"/>
      <c r="Y162" s="95"/>
      <c r="Z162" s="95"/>
      <c r="AA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139"/>
      <c r="X163" s="95"/>
      <c r="Y163" s="95"/>
      <c r="Z163" s="95"/>
      <c r="AA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139"/>
      <c r="X164" s="95"/>
      <c r="Y164" s="95"/>
      <c r="Z164" s="95"/>
      <c r="AA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139"/>
      <c r="X165" s="95"/>
      <c r="Y165" s="95"/>
      <c r="Z165" s="95"/>
      <c r="AA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139"/>
      <c r="X166" s="95"/>
      <c r="Y166" s="95"/>
      <c r="Z166" s="95"/>
      <c r="AA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139"/>
      <c r="X167" s="95"/>
      <c r="Y167" s="95"/>
      <c r="Z167" s="95"/>
      <c r="AA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139"/>
      <c r="X168" s="95"/>
      <c r="Y168" s="95"/>
      <c r="Z168" s="95"/>
      <c r="AA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139"/>
      <c r="X169" s="95"/>
      <c r="Y169" s="95"/>
      <c r="Z169" s="95"/>
      <c r="AA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139"/>
      <c r="X170" s="95"/>
      <c r="Y170" s="95"/>
      <c r="Z170" s="95"/>
      <c r="AA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139"/>
      <c r="X171" s="95"/>
      <c r="Y171" s="95"/>
      <c r="Z171" s="95"/>
      <c r="AA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139"/>
      <c r="X172" s="95"/>
      <c r="Y172" s="95"/>
      <c r="Z172" s="95"/>
      <c r="AA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139"/>
      <c r="X173" s="95"/>
      <c r="Y173" s="95"/>
      <c r="Z173" s="95"/>
      <c r="AA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139"/>
      <c r="X174" s="95"/>
      <c r="Y174" s="95"/>
      <c r="Z174" s="95"/>
      <c r="AA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139"/>
      <c r="X175" s="95"/>
      <c r="Y175" s="95"/>
      <c r="Z175" s="95"/>
      <c r="AA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139"/>
      <c r="X176" s="95"/>
      <c r="Y176" s="95"/>
      <c r="Z176" s="95"/>
      <c r="AA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139"/>
      <c r="X177" s="95"/>
      <c r="Y177" s="95"/>
      <c r="Z177" s="95"/>
      <c r="AA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139"/>
      <c r="X178" s="95"/>
      <c r="Y178" s="95"/>
      <c r="Z178" s="95"/>
      <c r="AA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139"/>
      <c r="X179" s="95"/>
      <c r="Y179" s="95"/>
      <c r="Z179" s="95"/>
      <c r="AA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139"/>
      <c r="X180" s="95"/>
      <c r="Y180" s="95"/>
      <c r="Z180" s="95"/>
      <c r="AA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139"/>
      <c r="X181" s="95"/>
      <c r="Y181" s="95"/>
      <c r="Z181" s="95"/>
      <c r="AA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139"/>
      <c r="X182" s="95"/>
      <c r="Y182" s="95"/>
      <c r="Z182" s="95"/>
      <c r="AA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139"/>
      <c r="X183" s="95"/>
      <c r="Y183" s="95"/>
      <c r="Z183" s="95"/>
      <c r="AA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139"/>
      <c r="X184" s="95"/>
      <c r="Y184" s="95"/>
      <c r="Z184" s="95"/>
      <c r="AA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139"/>
      <c r="X185" s="95"/>
      <c r="Y185" s="95"/>
      <c r="Z185" s="95"/>
      <c r="AA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139"/>
      <c r="X186" s="95"/>
      <c r="Y186" s="95"/>
      <c r="Z186" s="95"/>
      <c r="AA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139"/>
      <c r="X187" s="95"/>
      <c r="Y187" s="95"/>
      <c r="Z187" s="95"/>
      <c r="AA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139"/>
      <c r="X188" s="95"/>
      <c r="Y188" s="95"/>
      <c r="Z188" s="95"/>
      <c r="AA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139"/>
      <c r="X189" s="95"/>
      <c r="Y189" s="95"/>
      <c r="Z189" s="95"/>
      <c r="AA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139"/>
      <c r="X190" s="95"/>
      <c r="Y190" s="95"/>
      <c r="Z190" s="95"/>
      <c r="AA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139"/>
      <c r="X191" s="95"/>
      <c r="Y191" s="95"/>
      <c r="Z191" s="95"/>
      <c r="AA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139"/>
      <c r="X192" s="95"/>
      <c r="Y192" s="95"/>
      <c r="Z192" s="95"/>
      <c r="AA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139"/>
      <c r="X193" s="95"/>
      <c r="Y193" s="95"/>
      <c r="Z193" s="95"/>
      <c r="AA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139"/>
      <c r="X194" s="95"/>
      <c r="Y194" s="95"/>
      <c r="Z194" s="95"/>
      <c r="AA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139"/>
      <c r="X195" s="95"/>
      <c r="Y195" s="95"/>
      <c r="Z195" s="95"/>
      <c r="AA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139"/>
      <c r="X196" s="95"/>
      <c r="Y196" s="95"/>
      <c r="Z196" s="95"/>
      <c r="AA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139"/>
      <c r="X197" s="95"/>
      <c r="Y197" s="95"/>
      <c r="Z197" s="95"/>
      <c r="AA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139"/>
      <c r="X198" s="95"/>
      <c r="Y198" s="95"/>
      <c r="Z198" s="95"/>
      <c r="AA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139"/>
      <c r="X199" s="95"/>
      <c r="Y199" s="95"/>
      <c r="Z199" s="95"/>
      <c r="AA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139"/>
      <c r="X200" s="95"/>
      <c r="Y200" s="95"/>
      <c r="Z200" s="95"/>
      <c r="AA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139"/>
      <c r="X201" s="95"/>
      <c r="Y201" s="95"/>
      <c r="Z201" s="95"/>
      <c r="AA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139"/>
      <c r="X202" s="95"/>
      <c r="Y202" s="95"/>
      <c r="Z202" s="95"/>
      <c r="AA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139"/>
      <c r="X203" s="95"/>
      <c r="Y203" s="95"/>
      <c r="Z203" s="95"/>
      <c r="AA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139"/>
      <c r="X204" s="95"/>
      <c r="Y204" s="95"/>
      <c r="Z204" s="95"/>
      <c r="AA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139"/>
      <c r="X205" s="95"/>
      <c r="Y205" s="95"/>
      <c r="Z205" s="95"/>
      <c r="AA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139"/>
      <c r="X206" s="95"/>
      <c r="Y206" s="95"/>
      <c r="Z206" s="95"/>
      <c r="AA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139"/>
      <c r="X207" s="95"/>
      <c r="Y207" s="95"/>
      <c r="Z207" s="95"/>
      <c r="AA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139"/>
      <c r="X208" s="95"/>
      <c r="Y208" s="95"/>
      <c r="Z208" s="95"/>
      <c r="AA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139"/>
      <c r="X209" s="95"/>
      <c r="Y209" s="95"/>
      <c r="Z209" s="95"/>
      <c r="AA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139"/>
      <c r="X210" s="95"/>
      <c r="Y210" s="95"/>
      <c r="Z210" s="95"/>
      <c r="AA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139"/>
      <c r="X211" s="95"/>
      <c r="Y211" s="95"/>
      <c r="Z211" s="95"/>
      <c r="AA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139"/>
      <c r="X212" s="95"/>
      <c r="Y212" s="95"/>
      <c r="Z212" s="95"/>
      <c r="AA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139"/>
      <c r="X213" s="95"/>
      <c r="Y213" s="95"/>
      <c r="Z213" s="95"/>
      <c r="AA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139"/>
      <c r="X214" s="95"/>
      <c r="Y214" s="95"/>
      <c r="Z214" s="95"/>
      <c r="AA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139"/>
      <c r="X215" s="95"/>
      <c r="Y215" s="95"/>
      <c r="Z215" s="95"/>
      <c r="AA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139"/>
      <c r="X216" s="95"/>
      <c r="Y216" s="95"/>
      <c r="Z216" s="95"/>
      <c r="AA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139"/>
      <c r="X217" s="95"/>
      <c r="Y217" s="95"/>
      <c r="Z217" s="95"/>
      <c r="AA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139"/>
      <c r="X218" s="95"/>
      <c r="Y218" s="95"/>
      <c r="Z218" s="95"/>
      <c r="AA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139"/>
      <c r="X219" s="95"/>
      <c r="Y219" s="95"/>
      <c r="Z219" s="95"/>
      <c r="AA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139"/>
      <c r="X220" s="95"/>
      <c r="Y220" s="95"/>
      <c r="Z220" s="95"/>
      <c r="AA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139"/>
      <c r="X221" s="95"/>
      <c r="Y221" s="95"/>
      <c r="Z221" s="95"/>
      <c r="AA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139"/>
      <c r="X222" s="95"/>
      <c r="Y222" s="95"/>
      <c r="Z222" s="95"/>
      <c r="AA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139"/>
      <c r="X223" s="95"/>
      <c r="Y223" s="95"/>
      <c r="Z223" s="95"/>
      <c r="AA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139"/>
      <c r="X224" s="95"/>
      <c r="Y224" s="95"/>
      <c r="Z224" s="95"/>
      <c r="AA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139"/>
      <c r="X225" s="95"/>
      <c r="Y225" s="95"/>
      <c r="Z225" s="95"/>
      <c r="AA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139"/>
      <c r="X226" s="95"/>
      <c r="Y226" s="95"/>
      <c r="Z226" s="95"/>
      <c r="AA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139"/>
      <c r="X227" s="95"/>
      <c r="Y227" s="95"/>
      <c r="Z227" s="95"/>
      <c r="AA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139"/>
      <c r="X228" s="95"/>
      <c r="Y228" s="95"/>
      <c r="Z228" s="95"/>
      <c r="AA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139"/>
      <c r="X229" s="95"/>
      <c r="Y229" s="95"/>
      <c r="Z229" s="95"/>
      <c r="AA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139"/>
      <c r="X230" s="95"/>
      <c r="Y230" s="95"/>
      <c r="Z230" s="95"/>
      <c r="AA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139"/>
      <c r="X231" s="95"/>
      <c r="Y231" s="95"/>
      <c r="Z231" s="95"/>
      <c r="AA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139"/>
      <c r="X232" s="95"/>
      <c r="Y232" s="95"/>
      <c r="Z232" s="95"/>
      <c r="AA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139"/>
      <c r="X233" s="95"/>
      <c r="Y233" s="95"/>
      <c r="Z233" s="95"/>
      <c r="AA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139"/>
      <c r="X234" s="95"/>
      <c r="Y234" s="95"/>
      <c r="Z234" s="95"/>
      <c r="AA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139"/>
      <c r="X235" s="95"/>
      <c r="Y235" s="95"/>
      <c r="Z235" s="95"/>
      <c r="AA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139"/>
      <c r="X236" s="95"/>
      <c r="Y236" s="95"/>
      <c r="Z236" s="95"/>
      <c r="AA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139"/>
      <c r="X237" s="95"/>
      <c r="Y237" s="95"/>
      <c r="Z237" s="95"/>
      <c r="AA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139"/>
      <c r="X238" s="95"/>
      <c r="Y238" s="95"/>
      <c r="Z238" s="95"/>
      <c r="AA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139"/>
      <c r="X239" s="95"/>
      <c r="Y239" s="95"/>
      <c r="Z239" s="95"/>
      <c r="AA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139"/>
      <c r="X240" s="95"/>
      <c r="Y240" s="95"/>
      <c r="Z240" s="95"/>
      <c r="AA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139"/>
      <c r="X241" s="95"/>
      <c r="Y241" s="95"/>
      <c r="Z241" s="95"/>
      <c r="AA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139"/>
      <c r="X242" s="95"/>
      <c r="Y242" s="95"/>
      <c r="Z242" s="95"/>
      <c r="AA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139"/>
      <c r="X243" s="95"/>
      <c r="Y243" s="95"/>
      <c r="Z243" s="95"/>
      <c r="AA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139"/>
      <c r="X244" s="95"/>
      <c r="Y244" s="95"/>
      <c r="Z244" s="95"/>
      <c r="AA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139"/>
      <c r="X245" s="95"/>
      <c r="Y245" s="95"/>
      <c r="Z245" s="95"/>
      <c r="AA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139"/>
      <c r="X246" s="95"/>
      <c r="Y246" s="95"/>
      <c r="Z246" s="95"/>
      <c r="AA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139"/>
      <c r="X247" s="95"/>
      <c r="Y247" s="95"/>
      <c r="Z247" s="95"/>
      <c r="AA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139"/>
      <c r="X248" s="95"/>
      <c r="Y248" s="95"/>
      <c r="Z248" s="95"/>
      <c r="AA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139"/>
      <c r="X249" s="95"/>
      <c r="Y249" s="95"/>
      <c r="Z249" s="95"/>
      <c r="AA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139"/>
      <c r="X250" s="95"/>
      <c r="Y250" s="95"/>
      <c r="Z250" s="95"/>
      <c r="AA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139"/>
      <c r="X251" s="95"/>
      <c r="Y251" s="95"/>
      <c r="Z251" s="95"/>
      <c r="AA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139"/>
      <c r="X252" s="95"/>
      <c r="Y252" s="95"/>
      <c r="Z252" s="95"/>
      <c r="AA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139"/>
      <c r="X253" s="95"/>
      <c r="Y253" s="95"/>
      <c r="Z253" s="95"/>
      <c r="AA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139"/>
      <c r="X254" s="95"/>
      <c r="Y254" s="95"/>
      <c r="Z254" s="95"/>
      <c r="AA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139"/>
      <c r="X255" s="95"/>
      <c r="Y255" s="95"/>
      <c r="Z255" s="95"/>
      <c r="AA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139"/>
      <c r="X256" s="95"/>
      <c r="Y256" s="95"/>
      <c r="Z256" s="95"/>
      <c r="AA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139"/>
      <c r="X257" s="95"/>
      <c r="Y257" s="95"/>
      <c r="Z257" s="95"/>
      <c r="AA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139"/>
      <c r="X258" s="95"/>
      <c r="Y258" s="95"/>
      <c r="Z258" s="95"/>
      <c r="AA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139"/>
      <c r="X259" s="95"/>
      <c r="Y259" s="95"/>
      <c r="Z259" s="95"/>
      <c r="AA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139"/>
      <c r="X260" s="95"/>
      <c r="Y260" s="95"/>
      <c r="Z260" s="95"/>
      <c r="AA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139"/>
      <c r="X261" s="95"/>
      <c r="Y261" s="95"/>
      <c r="Z261" s="95"/>
      <c r="AA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139"/>
      <c r="X262" s="95"/>
      <c r="Y262" s="95"/>
      <c r="Z262" s="95"/>
      <c r="AA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139"/>
      <c r="X263" s="95"/>
      <c r="Y263" s="95"/>
      <c r="Z263" s="95"/>
      <c r="AA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139"/>
      <c r="X264" s="95"/>
      <c r="Y264" s="95"/>
      <c r="Z264" s="95"/>
      <c r="AA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139"/>
      <c r="X265" s="95"/>
      <c r="Y265" s="95"/>
      <c r="Z265" s="95"/>
      <c r="AA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139"/>
      <c r="X266" s="95"/>
      <c r="Y266" s="95"/>
      <c r="Z266" s="95"/>
      <c r="AA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139"/>
      <c r="X267" s="95"/>
      <c r="Y267" s="95"/>
      <c r="Z267" s="95"/>
      <c r="AA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139"/>
      <c r="X268" s="95"/>
      <c r="Y268" s="95"/>
      <c r="Z268" s="95"/>
      <c r="AA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139"/>
      <c r="X269" s="95"/>
      <c r="Y269" s="95"/>
      <c r="Z269" s="95"/>
      <c r="AA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139"/>
      <c r="X270" s="95"/>
      <c r="Y270" s="95"/>
      <c r="Z270" s="95"/>
      <c r="AA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139"/>
      <c r="X271" s="95"/>
      <c r="Y271" s="95"/>
      <c r="Z271" s="95"/>
      <c r="AA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139"/>
      <c r="X272" s="95"/>
      <c r="Y272" s="95"/>
      <c r="Z272" s="95"/>
      <c r="AA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139"/>
      <c r="X273" s="95"/>
      <c r="Y273" s="95"/>
      <c r="Z273" s="95"/>
      <c r="AA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139"/>
      <c r="X274" s="95"/>
      <c r="Y274" s="95"/>
      <c r="Z274" s="95"/>
      <c r="AA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139"/>
      <c r="X275" s="95"/>
      <c r="Y275" s="95"/>
      <c r="Z275" s="95"/>
      <c r="AA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139"/>
      <c r="X276" s="95"/>
      <c r="Y276" s="95"/>
      <c r="Z276" s="95"/>
      <c r="AA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139"/>
      <c r="X277" s="95"/>
      <c r="Y277" s="95"/>
      <c r="Z277" s="95"/>
      <c r="AA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139"/>
      <c r="X278" s="95"/>
      <c r="Y278" s="95"/>
      <c r="Z278" s="95"/>
      <c r="AA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139"/>
      <c r="X279" s="95"/>
      <c r="Y279" s="95"/>
      <c r="Z279" s="95"/>
      <c r="AA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139"/>
      <c r="X280" s="95"/>
      <c r="Y280" s="95"/>
      <c r="Z280" s="95"/>
      <c r="AA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139"/>
      <c r="X281" s="95"/>
      <c r="Y281" s="95"/>
      <c r="Z281" s="95"/>
      <c r="AA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139"/>
      <c r="X282" s="95"/>
      <c r="Y282" s="95"/>
      <c r="Z282" s="95"/>
      <c r="AA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139"/>
      <c r="X283" s="95"/>
      <c r="Y283" s="95"/>
      <c r="Z283" s="95"/>
      <c r="AA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139"/>
      <c r="X284" s="95"/>
      <c r="Y284" s="95"/>
      <c r="Z284" s="95"/>
      <c r="AA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139"/>
      <c r="X285" s="95"/>
      <c r="Y285" s="95"/>
      <c r="Z285" s="95"/>
      <c r="AA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139"/>
      <c r="X286" s="95"/>
      <c r="Y286" s="95"/>
      <c r="Z286" s="95"/>
      <c r="AA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139"/>
      <c r="X287" s="95"/>
      <c r="Y287" s="95"/>
      <c r="Z287" s="95"/>
      <c r="AA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139"/>
      <c r="X288" s="95"/>
      <c r="Y288" s="95"/>
      <c r="Z288" s="95"/>
      <c r="AA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139"/>
      <c r="X289" s="95"/>
      <c r="Y289" s="95"/>
      <c r="Z289" s="95"/>
      <c r="AA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139"/>
      <c r="X290" s="95"/>
      <c r="Y290" s="95"/>
      <c r="Z290" s="95"/>
      <c r="AA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139"/>
      <c r="X291" s="95"/>
      <c r="Y291" s="95"/>
      <c r="Z291" s="95"/>
      <c r="AA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139"/>
      <c r="X292" s="95"/>
      <c r="Y292" s="95"/>
      <c r="Z292" s="95"/>
      <c r="AA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139"/>
      <c r="X293" s="95"/>
      <c r="Y293" s="95"/>
      <c r="Z293" s="95"/>
      <c r="AA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139"/>
      <c r="X294" s="95"/>
      <c r="Y294" s="95"/>
      <c r="Z294" s="95"/>
      <c r="AA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139"/>
      <c r="X295" s="95"/>
      <c r="Y295" s="95"/>
      <c r="Z295" s="95"/>
      <c r="AA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139"/>
      <c r="X296" s="95"/>
      <c r="Y296" s="95"/>
      <c r="Z296" s="95"/>
      <c r="AA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139"/>
      <c r="X297" s="95"/>
      <c r="Y297" s="95"/>
      <c r="Z297" s="95"/>
      <c r="AA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139"/>
      <c r="X298" s="95"/>
      <c r="Y298" s="95"/>
      <c r="Z298" s="95"/>
      <c r="AA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139"/>
      <c r="X299" s="95"/>
      <c r="Y299" s="95"/>
      <c r="Z299" s="95"/>
      <c r="AA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139"/>
      <c r="X300" s="95"/>
      <c r="Y300" s="95"/>
      <c r="Z300" s="95"/>
      <c r="AA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139"/>
      <c r="X301" s="95"/>
      <c r="Y301" s="95"/>
      <c r="Z301" s="95"/>
      <c r="AA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139"/>
      <c r="X302" s="95"/>
      <c r="Y302" s="95"/>
      <c r="Z302" s="95"/>
      <c r="AA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139"/>
      <c r="X303" s="95"/>
      <c r="Y303" s="95"/>
      <c r="Z303" s="95"/>
      <c r="AA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139"/>
      <c r="X304" s="95"/>
      <c r="Y304" s="95"/>
      <c r="Z304" s="95"/>
      <c r="AA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139"/>
      <c r="X305" s="95"/>
      <c r="Y305" s="95"/>
      <c r="Z305" s="95"/>
      <c r="AA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139"/>
      <c r="X306" s="95"/>
      <c r="Y306" s="95"/>
      <c r="Z306" s="95"/>
      <c r="AA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139"/>
      <c r="X307" s="95"/>
      <c r="Y307" s="95"/>
      <c r="Z307" s="95"/>
      <c r="AA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139"/>
      <c r="X308" s="95"/>
      <c r="Y308" s="95"/>
      <c r="Z308" s="95"/>
      <c r="AA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139"/>
      <c r="X309" s="95"/>
      <c r="Y309" s="95"/>
      <c r="Z309" s="95"/>
      <c r="AA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139"/>
      <c r="X310" s="95"/>
      <c r="Y310" s="95"/>
      <c r="Z310" s="95"/>
      <c r="AA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139"/>
      <c r="X311" s="95"/>
      <c r="Y311" s="95"/>
      <c r="Z311" s="95"/>
      <c r="AA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139"/>
      <c r="X312" s="95"/>
      <c r="Y312" s="95"/>
      <c r="Z312" s="95"/>
      <c r="AA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139"/>
      <c r="X313" s="95"/>
      <c r="Y313" s="95"/>
      <c r="Z313" s="95"/>
      <c r="AA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139"/>
      <c r="X314" s="95"/>
      <c r="Y314" s="95"/>
      <c r="Z314" s="95"/>
      <c r="AA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139"/>
      <c r="X315" s="95"/>
      <c r="Y315" s="95"/>
      <c r="Z315" s="95"/>
      <c r="AA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139"/>
      <c r="X316" s="95"/>
      <c r="Y316" s="95"/>
      <c r="Z316" s="95"/>
      <c r="AA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139"/>
      <c r="X317" s="95"/>
      <c r="Y317" s="95"/>
      <c r="Z317" s="95"/>
      <c r="AA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139"/>
      <c r="X318" s="95"/>
      <c r="Y318" s="95"/>
      <c r="Z318" s="95"/>
      <c r="AA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139"/>
      <c r="X319" s="95"/>
      <c r="Y319" s="95"/>
      <c r="Z319" s="95"/>
      <c r="AA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139"/>
      <c r="X320" s="95"/>
      <c r="Y320" s="95"/>
      <c r="Z320" s="95"/>
      <c r="AA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139"/>
      <c r="X321" s="95"/>
      <c r="Y321" s="95"/>
      <c r="Z321" s="95"/>
      <c r="AA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139"/>
      <c r="X322" s="95"/>
      <c r="Y322" s="95"/>
      <c r="Z322" s="95"/>
      <c r="AA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139"/>
      <c r="X323" s="95"/>
      <c r="Y323" s="95"/>
      <c r="Z323" s="95"/>
      <c r="AA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139"/>
      <c r="X324" s="95"/>
      <c r="Y324" s="95"/>
      <c r="Z324" s="95"/>
      <c r="AA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139"/>
      <c r="X325" s="95"/>
      <c r="Y325" s="95"/>
      <c r="Z325" s="95"/>
      <c r="AA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139"/>
      <c r="X326" s="95"/>
      <c r="Y326" s="95"/>
      <c r="Z326" s="95"/>
      <c r="AA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139"/>
      <c r="X327" s="95"/>
      <c r="Y327" s="95"/>
      <c r="Z327" s="95"/>
      <c r="AA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139"/>
      <c r="X328" s="95"/>
      <c r="Y328" s="95"/>
      <c r="Z328" s="95"/>
      <c r="AA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139"/>
      <c r="X329" s="95"/>
      <c r="Y329" s="95"/>
      <c r="Z329" s="95"/>
      <c r="AA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139"/>
      <c r="X330" s="95"/>
      <c r="Y330" s="95"/>
      <c r="Z330" s="95"/>
      <c r="AA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139"/>
      <c r="X331" s="95"/>
      <c r="Y331" s="95"/>
      <c r="Z331" s="95"/>
      <c r="AA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139"/>
      <c r="X332" s="95"/>
      <c r="Y332" s="95"/>
      <c r="Z332" s="95"/>
      <c r="AA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139"/>
      <c r="X333" s="95"/>
      <c r="Y333" s="95"/>
      <c r="Z333" s="95"/>
      <c r="AA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139"/>
      <c r="X334" s="95"/>
      <c r="Y334" s="95"/>
      <c r="Z334" s="95"/>
      <c r="AA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139"/>
      <c r="X335" s="95"/>
      <c r="Y335" s="95"/>
      <c r="Z335" s="95"/>
      <c r="AA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139"/>
      <c r="X336" s="95"/>
      <c r="Y336" s="95"/>
      <c r="Z336" s="95"/>
      <c r="AA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139"/>
      <c r="X337" s="95"/>
      <c r="Y337" s="95"/>
      <c r="Z337" s="95"/>
      <c r="AA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139"/>
      <c r="X338" s="95"/>
      <c r="Y338" s="95"/>
      <c r="Z338" s="95"/>
      <c r="AA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139"/>
      <c r="X339" s="95"/>
      <c r="Y339" s="95"/>
      <c r="Z339" s="95"/>
      <c r="AA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139"/>
      <c r="X340" s="95"/>
      <c r="Y340" s="95"/>
      <c r="Z340" s="95"/>
      <c r="AA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139"/>
      <c r="X341" s="95"/>
      <c r="Y341" s="95"/>
      <c r="Z341" s="95"/>
      <c r="AA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139"/>
      <c r="X342" s="95"/>
      <c r="Y342" s="95"/>
      <c r="Z342" s="95"/>
      <c r="AA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139"/>
      <c r="X343" s="95"/>
      <c r="Y343" s="95"/>
      <c r="Z343" s="95"/>
      <c r="AA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139"/>
      <c r="X344" s="95"/>
      <c r="Y344" s="95"/>
      <c r="Z344" s="95"/>
      <c r="AA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139"/>
      <c r="X345" s="95"/>
      <c r="Y345" s="95"/>
      <c r="Z345" s="95"/>
      <c r="AA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139"/>
      <c r="X346" s="95"/>
      <c r="Y346" s="95"/>
      <c r="Z346" s="95"/>
      <c r="AA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139"/>
      <c r="X347" s="95"/>
      <c r="Y347" s="95"/>
      <c r="Z347" s="95"/>
      <c r="AA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139"/>
      <c r="X348" s="95"/>
      <c r="Y348" s="95"/>
      <c r="Z348" s="95"/>
      <c r="AA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139"/>
      <c r="X349" s="95"/>
      <c r="Y349" s="95"/>
      <c r="Z349" s="95"/>
      <c r="AA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139"/>
      <c r="X350" s="95"/>
      <c r="Y350" s="95"/>
      <c r="Z350" s="95"/>
      <c r="AA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139"/>
      <c r="X351" s="95"/>
      <c r="Y351" s="95"/>
      <c r="Z351" s="95"/>
      <c r="AA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139"/>
      <c r="X352" s="95"/>
      <c r="Y352" s="95"/>
      <c r="Z352" s="95"/>
      <c r="AA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139"/>
      <c r="X353" s="95"/>
      <c r="Y353" s="95"/>
      <c r="Z353" s="95"/>
      <c r="AA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139"/>
      <c r="X354" s="95"/>
      <c r="Y354" s="95"/>
      <c r="Z354" s="95"/>
      <c r="AA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139"/>
      <c r="X355" s="95"/>
      <c r="Y355" s="95"/>
      <c r="Z355" s="95"/>
      <c r="AA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139"/>
      <c r="X356" s="95"/>
      <c r="Y356" s="95"/>
      <c r="Z356" s="95"/>
      <c r="AA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139"/>
      <c r="X357" s="95"/>
      <c r="Y357" s="95"/>
      <c r="Z357" s="95"/>
      <c r="AA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139"/>
      <c r="X358" s="95"/>
      <c r="Y358" s="95"/>
      <c r="Z358" s="95"/>
      <c r="AA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139"/>
      <c r="X359" s="95"/>
      <c r="Y359" s="95"/>
      <c r="Z359" s="95"/>
      <c r="AA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139"/>
      <c r="X360" s="95"/>
      <c r="Y360" s="95"/>
      <c r="Z360" s="95"/>
      <c r="AA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139"/>
      <c r="X361" s="95"/>
      <c r="Y361" s="95"/>
      <c r="Z361" s="95"/>
      <c r="AA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139"/>
      <c r="X362" s="95"/>
      <c r="Y362" s="95"/>
      <c r="Z362" s="95"/>
      <c r="AA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139"/>
      <c r="X363" s="95"/>
      <c r="Y363" s="95"/>
      <c r="Z363" s="95"/>
      <c r="AA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139"/>
      <c r="X364" s="95"/>
      <c r="Y364" s="95"/>
      <c r="Z364" s="95"/>
      <c r="AA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139"/>
      <c r="X365" s="95"/>
      <c r="Y365" s="95"/>
      <c r="Z365" s="95"/>
      <c r="AA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139"/>
      <c r="X366" s="95"/>
      <c r="Y366" s="95"/>
      <c r="Z366" s="95"/>
      <c r="AA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139"/>
      <c r="X367" s="95"/>
      <c r="Y367" s="95"/>
      <c r="Z367" s="95"/>
      <c r="AA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139"/>
      <c r="X368" s="95"/>
      <c r="Y368" s="95"/>
      <c r="Z368" s="95"/>
      <c r="AA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139"/>
      <c r="X369" s="95"/>
      <c r="Y369" s="95"/>
      <c r="Z369" s="95"/>
      <c r="AA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139"/>
      <c r="X370" s="95"/>
      <c r="Y370" s="95"/>
      <c r="Z370" s="95"/>
      <c r="AA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139"/>
      <c r="X371" s="95"/>
      <c r="Y371" s="95"/>
      <c r="Z371" s="95"/>
      <c r="AA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139"/>
      <c r="X372" s="95"/>
      <c r="Y372" s="95"/>
      <c r="Z372" s="95"/>
      <c r="AA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139"/>
      <c r="X373" s="95"/>
      <c r="Y373" s="95"/>
      <c r="Z373" s="95"/>
      <c r="AA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139"/>
      <c r="X374" s="95"/>
      <c r="Y374" s="95"/>
      <c r="Z374" s="95"/>
      <c r="AA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139"/>
      <c r="X375" s="95"/>
      <c r="Y375" s="95"/>
      <c r="Z375" s="95"/>
      <c r="AA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139"/>
      <c r="X376" s="95"/>
      <c r="Y376" s="95"/>
      <c r="Z376" s="95"/>
      <c r="AA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139"/>
      <c r="X377" s="95"/>
      <c r="Y377" s="95"/>
      <c r="Z377" s="95"/>
      <c r="AA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139"/>
      <c r="X378" s="95"/>
      <c r="Y378" s="95"/>
      <c r="Z378" s="95"/>
      <c r="AA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139"/>
      <c r="X379" s="95"/>
      <c r="Y379" s="95"/>
      <c r="Z379" s="95"/>
      <c r="AA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139"/>
      <c r="X380" s="95"/>
      <c r="Y380" s="95"/>
      <c r="Z380" s="95"/>
      <c r="AA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139"/>
      <c r="X381" s="95"/>
      <c r="Y381" s="95"/>
      <c r="Z381" s="95"/>
      <c r="AA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139"/>
      <c r="X382" s="95"/>
      <c r="Y382" s="95"/>
      <c r="Z382" s="95"/>
      <c r="AA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139"/>
      <c r="X383" s="95"/>
      <c r="Y383" s="95"/>
      <c r="Z383" s="95"/>
      <c r="AA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139"/>
      <c r="X384" s="95"/>
      <c r="Y384" s="95"/>
      <c r="Z384" s="95"/>
      <c r="AA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139"/>
      <c r="X385" s="95"/>
      <c r="Y385" s="95"/>
      <c r="Z385" s="95"/>
      <c r="AA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139"/>
      <c r="X386" s="95"/>
      <c r="Y386" s="95"/>
      <c r="Z386" s="95"/>
      <c r="AA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139"/>
      <c r="X387" s="95"/>
      <c r="Y387" s="95"/>
      <c r="Z387" s="95"/>
      <c r="AA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139"/>
      <c r="X388" s="95"/>
      <c r="Y388" s="95"/>
      <c r="Z388" s="95"/>
      <c r="AA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139"/>
      <c r="X389" s="95"/>
      <c r="Y389" s="95"/>
      <c r="Z389" s="95"/>
      <c r="AA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139"/>
      <c r="X390" s="95"/>
      <c r="Y390" s="95"/>
      <c r="Z390" s="95"/>
      <c r="AA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139"/>
      <c r="X391" s="95"/>
      <c r="Y391" s="95"/>
      <c r="Z391" s="95"/>
      <c r="AA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139"/>
      <c r="X392" s="95"/>
      <c r="Y392" s="95"/>
      <c r="Z392" s="95"/>
      <c r="AA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139"/>
      <c r="X393" s="95"/>
      <c r="Y393" s="95"/>
      <c r="Z393" s="95"/>
      <c r="AA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139"/>
      <c r="X394" s="95"/>
      <c r="Y394" s="95"/>
      <c r="Z394" s="95"/>
      <c r="AA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139"/>
      <c r="X395" s="95"/>
      <c r="Y395" s="95"/>
      <c r="Z395" s="95"/>
      <c r="AA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139"/>
      <c r="X396" s="95"/>
      <c r="Y396" s="95"/>
      <c r="Z396" s="95"/>
      <c r="AA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139"/>
      <c r="X397" s="95"/>
      <c r="Y397" s="95"/>
      <c r="Z397" s="95"/>
      <c r="AA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139"/>
      <c r="X398" s="95"/>
      <c r="Y398" s="95"/>
      <c r="Z398" s="95"/>
      <c r="AA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139"/>
      <c r="X399" s="95"/>
      <c r="Y399" s="95"/>
      <c r="Z399" s="95"/>
      <c r="AA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139"/>
      <c r="X400" s="95"/>
      <c r="Y400" s="95"/>
      <c r="Z400" s="95"/>
      <c r="AA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139"/>
      <c r="X401" s="95"/>
      <c r="Y401" s="95"/>
      <c r="Z401" s="95"/>
      <c r="AA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139"/>
      <c r="X402" s="95"/>
      <c r="Y402" s="95"/>
      <c r="Z402" s="95"/>
      <c r="AA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139"/>
      <c r="X403" s="95"/>
      <c r="Y403" s="95"/>
      <c r="Z403" s="95"/>
      <c r="AA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139"/>
      <c r="X404" s="95"/>
      <c r="Y404" s="95"/>
      <c r="Z404" s="95"/>
      <c r="AA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139"/>
      <c r="X405" s="95"/>
      <c r="Y405" s="95"/>
      <c r="Z405" s="95"/>
      <c r="AA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139"/>
      <c r="X406" s="95"/>
      <c r="Y406" s="95"/>
      <c r="Z406" s="95"/>
      <c r="AA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139"/>
      <c r="X407" s="95"/>
      <c r="Y407" s="95"/>
      <c r="Z407" s="95"/>
      <c r="AA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139"/>
      <c r="X408" s="95"/>
      <c r="Y408" s="95"/>
      <c r="Z408" s="95"/>
      <c r="AA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139"/>
      <c r="X409" s="95"/>
      <c r="Y409" s="95"/>
      <c r="Z409" s="95"/>
      <c r="AA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139"/>
      <c r="X410" s="95"/>
      <c r="Y410" s="95"/>
      <c r="Z410" s="95"/>
      <c r="AA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139"/>
      <c r="X411" s="95"/>
      <c r="Y411" s="95"/>
      <c r="Z411" s="95"/>
      <c r="AA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139"/>
      <c r="X412" s="95"/>
      <c r="Y412" s="95"/>
      <c r="Z412" s="95"/>
      <c r="AA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139"/>
      <c r="X413" s="95"/>
      <c r="Y413" s="95"/>
      <c r="Z413" s="95"/>
      <c r="AA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139"/>
      <c r="X414" s="95"/>
      <c r="Y414" s="95"/>
      <c r="Z414" s="95"/>
      <c r="AA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139"/>
      <c r="X415" s="95"/>
      <c r="Y415" s="95"/>
      <c r="Z415" s="95"/>
      <c r="AA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139"/>
      <c r="X416" s="95"/>
      <c r="Y416" s="95"/>
      <c r="Z416" s="95"/>
      <c r="AA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139"/>
      <c r="X417" s="95"/>
      <c r="Y417" s="95"/>
      <c r="Z417" s="95"/>
      <c r="AA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139"/>
      <c r="X418" s="95"/>
      <c r="Y418" s="95"/>
      <c r="Z418" s="95"/>
      <c r="AA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139"/>
      <c r="X419" s="95"/>
      <c r="Y419" s="95"/>
      <c r="Z419" s="95"/>
      <c r="AA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139"/>
      <c r="X420" s="95"/>
      <c r="Y420" s="95"/>
      <c r="Z420" s="95"/>
      <c r="AA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139"/>
      <c r="X421" s="95"/>
      <c r="Y421" s="95"/>
      <c r="Z421" s="95"/>
      <c r="AA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139"/>
      <c r="X422" s="95"/>
      <c r="Y422" s="95"/>
      <c r="Z422" s="95"/>
      <c r="AA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139"/>
      <c r="X423" s="95"/>
      <c r="Y423" s="95"/>
      <c r="Z423" s="95"/>
      <c r="AA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139"/>
      <c r="X424" s="95"/>
      <c r="Y424" s="95"/>
      <c r="Z424" s="95"/>
      <c r="AA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139"/>
      <c r="X425" s="95"/>
      <c r="Y425" s="95"/>
      <c r="Z425" s="95"/>
      <c r="AA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139"/>
      <c r="X426" s="95"/>
      <c r="Y426" s="95"/>
      <c r="Z426" s="95"/>
      <c r="AA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139"/>
      <c r="X427" s="95"/>
      <c r="Y427" s="95"/>
      <c r="Z427" s="95"/>
      <c r="AA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139"/>
      <c r="X428" s="95"/>
      <c r="Y428" s="95"/>
      <c r="Z428" s="95"/>
      <c r="AA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139"/>
      <c r="X429" s="95"/>
      <c r="Y429" s="95"/>
      <c r="Z429" s="95"/>
      <c r="AA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139"/>
      <c r="X430" s="95"/>
      <c r="Y430" s="95"/>
      <c r="Z430" s="95"/>
      <c r="AA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139"/>
      <c r="X431" s="95"/>
      <c r="Y431" s="95"/>
      <c r="Z431" s="95"/>
      <c r="AA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139"/>
      <c r="X432" s="95"/>
      <c r="Y432" s="95"/>
      <c r="Z432" s="95"/>
      <c r="AA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139"/>
      <c r="X433" s="95"/>
      <c r="Y433" s="95"/>
      <c r="Z433" s="95"/>
      <c r="AA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139"/>
      <c r="X434" s="95"/>
      <c r="Y434" s="95"/>
      <c r="Z434" s="95"/>
      <c r="AA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139"/>
      <c r="X435" s="95"/>
      <c r="Y435" s="95"/>
      <c r="Z435" s="95"/>
      <c r="AA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139"/>
      <c r="X436" s="95"/>
      <c r="Y436" s="95"/>
      <c r="Z436" s="95"/>
      <c r="AA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139"/>
      <c r="X437" s="95"/>
      <c r="Y437" s="95"/>
      <c r="Z437" s="95"/>
      <c r="AA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139"/>
      <c r="X438" s="95"/>
      <c r="Y438" s="95"/>
      <c r="Z438" s="95"/>
      <c r="AA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139"/>
      <c r="X439" s="95"/>
      <c r="Y439" s="95"/>
      <c r="Z439" s="95"/>
      <c r="AA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139"/>
      <c r="X440" s="95"/>
      <c r="Y440" s="95"/>
      <c r="Z440" s="95"/>
      <c r="AA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139"/>
      <c r="X441" s="95"/>
      <c r="Y441" s="95"/>
      <c r="Z441" s="95"/>
      <c r="AA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139"/>
      <c r="X442" s="95"/>
      <c r="Y442" s="95"/>
      <c r="Z442" s="95"/>
      <c r="AA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139"/>
      <c r="X443" s="95"/>
      <c r="Y443" s="95"/>
      <c r="Z443" s="95"/>
      <c r="AA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139"/>
      <c r="X444" s="95"/>
      <c r="Y444" s="95"/>
      <c r="Z444" s="95"/>
      <c r="AA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139"/>
      <c r="X445" s="95"/>
      <c r="Y445" s="95"/>
      <c r="Z445" s="95"/>
      <c r="AA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139"/>
      <c r="X446" s="95"/>
      <c r="Y446" s="95"/>
      <c r="Z446" s="95"/>
      <c r="AA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139"/>
      <c r="X447" s="95"/>
      <c r="Y447" s="95"/>
      <c r="Z447" s="95"/>
      <c r="AA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139"/>
      <c r="X448" s="95"/>
      <c r="Y448" s="95"/>
      <c r="Z448" s="95"/>
      <c r="AA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139"/>
      <c r="X449" s="95"/>
      <c r="Y449" s="95"/>
      <c r="Z449" s="95"/>
      <c r="AA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139"/>
      <c r="X450" s="95"/>
      <c r="Y450" s="95"/>
      <c r="Z450" s="95"/>
      <c r="AA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139"/>
      <c r="X451" s="95"/>
      <c r="Y451" s="95"/>
      <c r="Z451" s="95"/>
      <c r="AA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139"/>
      <c r="X452" s="95"/>
      <c r="Y452" s="95"/>
      <c r="Z452" s="95"/>
      <c r="AA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139"/>
      <c r="X453" s="95"/>
      <c r="Y453" s="95"/>
      <c r="Z453" s="95"/>
      <c r="AA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139"/>
      <c r="X454" s="95"/>
      <c r="Y454" s="95"/>
      <c r="Z454" s="95"/>
      <c r="AA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139"/>
      <c r="X455" s="95"/>
      <c r="Y455" s="95"/>
      <c r="Z455" s="95"/>
      <c r="AA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139"/>
      <c r="X456" s="95"/>
      <c r="Y456" s="95"/>
      <c r="Z456" s="95"/>
      <c r="AA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139"/>
      <c r="X457" s="95"/>
      <c r="Y457" s="95"/>
      <c r="Z457" s="95"/>
      <c r="AA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139"/>
      <c r="X458" s="95"/>
      <c r="Y458" s="95"/>
      <c r="Z458" s="95"/>
      <c r="AA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139"/>
      <c r="X459" s="95"/>
      <c r="Y459" s="95"/>
      <c r="Z459" s="95"/>
      <c r="AA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139"/>
      <c r="X460" s="95"/>
      <c r="Y460" s="95"/>
      <c r="Z460" s="95"/>
      <c r="AA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139"/>
      <c r="X461" s="95"/>
      <c r="Y461" s="95"/>
      <c r="Z461" s="95"/>
      <c r="AA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139"/>
      <c r="X462" s="95"/>
      <c r="Y462" s="95"/>
      <c r="Z462" s="95"/>
      <c r="AA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139"/>
      <c r="X463" s="95"/>
      <c r="Y463" s="95"/>
      <c r="Z463" s="95"/>
      <c r="AA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139"/>
      <c r="X464" s="95"/>
      <c r="Y464" s="95"/>
      <c r="Z464" s="95"/>
      <c r="AA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139"/>
      <c r="X465" s="95"/>
      <c r="Y465" s="95"/>
      <c r="Z465" s="95"/>
      <c r="AA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139"/>
      <c r="X466" s="95"/>
      <c r="Y466" s="95"/>
      <c r="Z466" s="95"/>
      <c r="AA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139"/>
      <c r="X467" s="95"/>
      <c r="Y467" s="95"/>
      <c r="Z467" s="95"/>
      <c r="AA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139"/>
      <c r="X468" s="95"/>
      <c r="Y468" s="95"/>
      <c r="Z468" s="95"/>
      <c r="AA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139"/>
      <c r="X469" s="95"/>
      <c r="Y469" s="95"/>
      <c r="Z469" s="95"/>
      <c r="AA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139"/>
      <c r="X470" s="95"/>
      <c r="Y470" s="95"/>
      <c r="Z470" s="95"/>
      <c r="AA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139"/>
      <c r="X471" s="95"/>
      <c r="Y471" s="95"/>
      <c r="Z471" s="95"/>
      <c r="AA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139"/>
      <c r="X472" s="95"/>
      <c r="Y472" s="95"/>
      <c r="Z472" s="95"/>
      <c r="AA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139"/>
      <c r="X473" s="95"/>
      <c r="Y473" s="95"/>
      <c r="Z473" s="95"/>
      <c r="AA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139"/>
      <c r="X474" s="95"/>
      <c r="Y474" s="95"/>
      <c r="Z474" s="95"/>
      <c r="AA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139"/>
      <c r="X475" s="95"/>
      <c r="Y475" s="95"/>
      <c r="Z475" s="95"/>
      <c r="AA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139"/>
      <c r="X476" s="95"/>
      <c r="Y476" s="95"/>
      <c r="Z476" s="95"/>
      <c r="AA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139"/>
      <c r="X477" s="95"/>
      <c r="Y477" s="95"/>
      <c r="Z477" s="95"/>
      <c r="AA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139"/>
      <c r="X478" s="95"/>
      <c r="Y478" s="95"/>
      <c r="Z478" s="95"/>
      <c r="AA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139"/>
      <c r="X479" s="95"/>
      <c r="Y479" s="95"/>
      <c r="Z479" s="95"/>
      <c r="AA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139"/>
      <c r="X480" s="95"/>
      <c r="Y480" s="95"/>
      <c r="Z480" s="95"/>
      <c r="AA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139"/>
      <c r="X481" s="95"/>
      <c r="Y481" s="95"/>
      <c r="Z481" s="95"/>
      <c r="AA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139"/>
      <c r="X482" s="95"/>
      <c r="Y482" s="95"/>
      <c r="Z482" s="95"/>
      <c r="AA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139"/>
      <c r="X483" s="95"/>
      <c r="Y483" s="95"/>
      <c r="Z483" s="95"/>
      <c r="AA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139"/>
      <c r="X484" s="95"/>
      <c r="Y484" s="95"/>
      <c r="Z484" s="95"/>
      <c r="AA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139"/>
      <c r="X485" s="95"/>
      <c r="Y485" s="95"/>
      <c r="Z485" s="95"/>
      <c r="AA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139"/>
      <c r="X486" s="95"/>
      <c r="Y486" s="95"/>
      <c r="Z486" s="95"/>
      <c r="AA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139"/>
      <c r="X487" s="95"/>
      <c r="Y487" s="95"/>
      <c r="Z487" s="95"/>
      <c r="AA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139"/>
      <c r="X488" s="95"/>
      <c r="Y488" s="95"/>
      <c r="Z488" s="95"/>
      <c r="AA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139"/>
      <c r="X489" s="95"/>
      <c r="Y489" s="95"/>
      <c r="Z489" s="95"/>
      <c r="AA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139"/>
      <c r="X490" s="95"/>
      <c r="Y490" s="95"/>
      <c r="Z490" s="95"/>
      <c r="AA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139"/>
      <c r="X491" s="95"/>
      <c r="Y491" s="95"/>
      <c r="Z491" s="95"/>
      <c r="AA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139"/>
      <c r="X492" s="95"/>
      <c r="Y492" s="95"/>
      <c r="Z492" s="95"/>
      <c r="AA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139"/>
      <c r="X493" s="95"/>
      <c r="Y493" s="95"/>
      <c r="Z493" s="95"/>
      <c r="AA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139"/>
      <c r="X494" s="95"/>
      <c r="Y494" s="95"/>
      <c r="Z494" s="95"/>
      <c r="AA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139"/>
      <c r="X495" s="95"/>
      <c r="Y495" s="95"/>
      <c r="Z495" s="95"/>
      <c r="AA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139"/>
      <c r="X496" s="95"/>
      <c r="Y496" s="95"/>
      <c r="Z496" s="95"/>
      <c r="AA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139"/>
      <c r="X497" s="95"/>
      <c r="Y497" s="95"/>
      <c r="Z497" s="95"/>
      <c r="AA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139"/>
      <c r="X498" s="95"/>
      <c r="Y498" s="95"/>
      <c r="Z498" s="95"/>
      <c r="AA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139"/>
      <c r="X499" s="95"/>
      <c r="Y499" s="95"/>
      <c r="Z499" s="95"/>
      <c r="AA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139"/>
      <c r="X500" s="95"/>
      <c r="Y500" s="95"/>
      <c r="Z500" s="95"/>
      <c r="AA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139"/>
      <c r="X501" s="95"/>
      <c r="Y501" s="95"/>
      <c r="Z501" s="95"/>
      <c r="AA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139"/>
      <c r="X502" s="95"/>
      <c r="Y502" s="95"/>
      <c r="Z502" s="95"/>
      <c r="AA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139"/>
      <c r="X503" s="95"/>
      <c r="Y503" s="95"/>
      <c r="Z503" s="95"/>
      <c r="AA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139"/>
      <c r="X504" s="95"/>
      <c r="Y504" s="95"/>
      <c r="Z504" s="95"/>
      <c r="AA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139"/>
      <c r="X505" s="95"/>
      <c r="Y505" s="95"/>
      <c r="Z505" s="95"/>
      <c r="AA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139"/>
      <c r="X506" s="95"/>
      <c r="Y506" s="95"/>
      <c r="Z506" s="95"/>
      <c r="AA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139"/>
      <c r="X507" s="95"/>
      <c r="Y507" s="95"/>
      <c r="Z507" s="95"/>
      <c r="AA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139"/>
      <c r="X508" s="95"/>
      <c r="Y508" s="95"/>
      <c r="Z508" s="95"/>
      <c r="AA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139"/>
      <c r="X509" s="95"/>
      <c r="Y509" s="95"/>
      <c r="Z509" s="95"/>
      <c r="AA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139"/>
      <c r="X510" s="95"/>
      <c r="Y510" s="95"/>
      <c r="Z510" s="95"/>
      <c r="AA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139"/>
      <c r="X511" s="95"/>
      <c r="Y511" s="95"/>
      <c r="Z511" s="95"/>
      <c r="AA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139"/>
      <c r="X512" s="95"/>
      <c r="Y512" s="95"/>
      <c r="Z512" s="95"/>
      <c r="AA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139"/>
      <c r="X513" s="95"/>
      <c r="Y513" s="95"/>
      <c r="Z513" s="95"/>
      <c r="AA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139"/>
      <c r="X514" s="95"/>
      <c r="Y514" s="95"/>
      <c r="Z514" s="95"/>
      <c r="AA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139"/>
      <c r="X515" s="95"/>
      <c r="Y515" s="95"/>
      <c r="Z515" s="95"/>
      <c r="AA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139"/>
      <c r="X516" s="95"/>
      <c r="Y516" s="95"/>
      <c r="Z516" s="95"/>
      <c r="AA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139"/>
      <c r="X517" s="95"/>
      <c r="Y517" s="95"/>
      <c r="Z517" s="95"/>
      <c r="AA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139"/>
      <c r="X518" s="95"/>
      <c r="Y518" s="95"/>
      <c r="Z518" s="95"/>
      <c r="AA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139"/>
      <c r="X519" s="95"/>
      <c r="Y519" s="95"/>
      <c r="Z519" s="95"/>
      <c r="AA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139"/>
      <c r="X520" s="95"/>
      <c r="Y520" s="95"/>
      <c r="Z520" s="95"/>
      <c r="AA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139"/>
      <c r="X521" s="95"/>
      <c r="Y521" s="95"/>
      <c r="Z521" s="95"/>
      <c r="AA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139"/>
      <c r="X522" s="95"/>
      <c r="Y522" s="95"/>
      <c r="Z522" s="95"/>
      <c r="AA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139"/>
      <c r="X523" s="95"/>
      <c r="Y523" s="95"/>
      <c r="Z523" s="95"/>
      <c r="AA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139"/>
      <c r="X524" s="95"/>
      <c r="Y524" s="95"/>
      <c r="Z524" s="95"/>
      <c r="AA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139"/>
      <c r="X525" s="95"/>
      <c r="Y525" s="95"/>
      <c r="Z525" s="95"/>
      <c r="AA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139"/>
      <c r="X526" s="95"/>
      <c r="Y526" s="95"/>
      <c r="Z526" s="95"/>
      <c r="AA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139"/>
      <c r="X527" s="95"/>
      <c r="Y527" s="95"/>
      <c r="Z527" s="95"/>
      <c r="AA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139"/>
      <c r="X528" s="95"/>
      <c r="Y528" s="95"/>
      <c r="Z528" s="95"/>
      <c r="AA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139"/>
      <c r="X529" s="95"/>
      <c r="Y529" s="95"/>
      <c r="Z529" s="95"/>
      <c r="AA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139"/>
      <c r="X530" s="95"/>
      <c r="Y530" s="95"/>
      <c r="Z530" s="95"/>
      <c r="AA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139"/>
      <c r="X531" s="95"/>
      <c r="Y531" s="95"/>
      <c r="Z531" s="95"/>
      <c r="AA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139"/>
      <c r="X532" s="95"/>
      <c r="Y532" s="95"/>
      <c r="Z532" s="95"/>
      <c r="AA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139"/>
      <c r="X533" s="95"/>
      <c r="Y533" s="95"/>
      <c r="Z533" s="95"/>
      <c r="AA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139"/>
      <c r="X534" s="95"/>
      <c r="Y534" s="95"/>
      <c r="Z534" s="95"/>
      <c r="AA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139"/>
      <c r="X535" s="95"/>
      <c r="Y535" s="95"/>
      <c r="Z535" s="95"/>
      <c r="AA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139"/>
      <c r="X536" s="95"/>
      <c r="Y536" s="95"/>
      <c r="Z536" s="95"/>
      <c r="AA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139"/>
      <c r="X537" s="95"/>
      <c r="Y537" s="95"/>
      <c r="Z537" s="95"/>
      <c r="AA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139"/>
      <c r="X538" s="95"/>
      <c r="Y538" s="95"/>
      <c r="Z538" s="95"/>
      <c r="AA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139"/>
      <c r="X539" s="95"/>
      <c r="Y539" s="95"/>
      <c r="Z539" s="95"/>
      <c r="AA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139"/>
      <c r="X540" s="95"/>
      <c r="Y540" s="95"/>
      <c r="Z540" s="95"/>
      <c r="AA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139"/>
      <c r="X541" s="95"/>
      <c r="Y541" s="95"/>
      <c r="Z541" s="95"/>
      <c r="AA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139"/>
      <c r="X542" s="95"/>
      <c r="Y542" s="95"/>
      <c r="Z542" s="95"/>
      <c r="AA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139"/>
      <c r="X543" s="95"/>
      <c r="Y543" s="95"/>
      <c r="Z543" s="95"/>
      <c r="AA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139"/>
      <c r="X544" s="95"/>
      <c r="Y544" s="95"/>
      <c r="Z544" s="95"/>
      <c r="AA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139"/>
      <c r="X545" s="95"/>
      <c r="Y545" s="95"/>
      <c r="Z545" s="95"/>
      <c r="AA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139"/>
      <c r="X546" s="95"/>
      <c r="Y546" s="95"/>
      <c r="Z546" s="95"/>
      <c r="AA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139"/>
      <c r="X547" s="95"/>
      <c r="Y547" s="95"/>
      <c r="Z547" s="95"/>
      <c r="AA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139"/>
      <c r="X548" s="95"/>
      <c r="Y548" s="95"/>
      <c r="Z548" s="95"/>
      <c r="AA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139"/>
      <c r="X549" s="95"/>
      <c r="Y549" s="95"/>
      <c r="Z549" s="95"/>
      <c r="AA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139"/>
      <c r="X550" s="95"/>
      <c r="Y550" s="95"/>
      <c r="Z550" s="95"/>
      <c r="AA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139"/>
      <c r="X551" s="95"/>
      <c r="Y551" s="95"/>
      <c r="Z551" s="95"/>
      <c r="AA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139"/>
      <c r="X552" s="95"/>
      <c r="Y552" s="95"/>
      <c r="Z552" s="95"/>
      <c r="AA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139"/>
      <c r="X553" s="95"/>
      <c r="Y553" s="95"/>
      <c r="Z553" s="95"/>
      <c r="AA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139"/>
      <c r="X554" s="95"/>
      <c r="Y554" s="95"/>
      <c r="Z554" s="95"/>
      <c r="AA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139"/>
      <c r="X555" s="95"/>
      <c r="Y555" s="95"/>
      <c r="Z555" s="95"/>
      <c r="AA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139"/>
      <c r="X556" s="95"/>
      <c r="Y556" s="95"/>
      <c r="Z556" s="95"/>
      <c r="AA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139"/>
      <c r="X557" s="95"/>
      <c r="Y557" s="95"/>
      <c r="Z557" s="95"/>
      <c r="AA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139"/>
      <c r="X558" s="95"/>
      <c r="Y558" s="95"/>
      <c r="Z558" s="95"/>
      <c r="AA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139"/>
      <c r="X559" s="95"/>
      <c r="Y559" s="95"/>
      <c r="Z559" s="95"/>
      <c r="AA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139"/>
      <c r="X560" s="95"/>
      <c r="Y560" s="95"/>
      <c r="Z560" s="95"/>
      <c r="AA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139"/>
      <c r="X561" s="95"/>
      <c r="Y561" s="95"/>
      <c r="Z561" s="95"/>
      <c r="AA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139"/>
      <c r="X562" s="95"/>
      <c r="Y562" s="95"/>
      <c r="Z562" s="95"/>
      <c r="AA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139"/>
      <c r="X563" s="95"/>
      <c r="Y563" s="95"/>
      <c r="Z563" s="95"/>
      <c r="AA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139"/>
      <c r="X564" s="95"/>
      <c r="Y564" s="95"/>
      <c r="Z564" s="95"/>
      <c r="AA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139"/>
      <c r="X565" s="95"/>
      <c r="Y565" s="95"/>
      <c r="Z565" s="95"/>
      <c r="AA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139"/>
      <c r="X566" s="95"/>
      <c r="Y566" s="95"/>
      <c r="Z566" s="95"/>
      <c r="AA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139"/>
      <c r="X567" s="95"/>
      <c r="Y567" s="95"/>
      <c r="Z567" s="95"/>
      <c r="AA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139"/>
      <c r="X568" s="95"/>
      <c r="Y568" s="95"/>
      <c r="Z568" s="95"/>
      <c r="AA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139"/>
      <c r="X569" s="95"/>
      <c r="Y569" s="95"/>
      <c r="Z569" s="95"/>
      <c r="AA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139"/>
      <c r="X570" s="95"/>
      <c r="Y570" s="95"/>
      <c r="Z570" s="95"/>
      <c r="AA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139"/>
      <c r="X571" s="95"/>
      <c r="Y571" s="95"/>
      <c r="Z571" s="95"/>
      <c r="AA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139"/>
      <c r="X572" s="95"/>
      <c r="Y572" s="95"/>
      <c r="Z572" s="95"/>
      <c r="AA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139"/>
      <c r="X573" s="95"/>
      <c r="Y573" s="95"/>
      <c r="Z573" s="95"/>
      <c r="AA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139"/>
      <c r="X574" s="95"/>
      <c r="Y574" s="95"/>
      <c r="Z574" s="95"/>
      <c r="AA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139"/>
      <c r="X575" s="95"/>
      <c r="Y575" s="95"/>
      <c r="Z575" s="95"/>
      <c r="AA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139"/>
      <c r="X576" s="95"/>
      <c r="Y576" s="95"/>
      <c r="Z576" s="95"/>
      <c r="AA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139"/>
      <c r="X577" s="95"/>
      <c r="Y577" s="95"/>
      <c r="Z577" s="95"/>
      <c r="AA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139"/>
      <c r="X578" s="95"/>
      <c r="Y578" s="95"/>
      <c r="Z578" s="95"/>
      <c r="AA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139"/>
      <c r="X579" s="95"/>
      <c r="Y579" s="95"/>
      <c r="Z579" s="95"/>
      <c r="AA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139"/>
      <c r="X580" s="95"/>
      <c r="Y580" s="95"/>
      <c r="Z580" s="95"/>
      <c r="AA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139"/>
      <c r="X581" s="95"/>
      <c r="Y581" s="95"/>
      <c r="Z581" s="95"/>
      <c r="AA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139"/>
      <c r="X582" s="95"/>
      <c r="Y582" s="95"/>
      <c r="Z582" s="95"/>
      <c r="AA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139"/>
      <c r="X583" s="95"/>
      <c r="Y583" s="95"/>
      <c r="Z583" s="95"/>
      <c r="AA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139"/>
      <c r="X584" s="95"/>
      <c r="Y584" s="95"/>
      <c r="Z584" s="95"/>
      <c r="AA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139"/>
      <c r="X585" s="95"/>
      <c r="Y585" s="95"/>
      <c r="Z585" s="95"/>
      <c r="AA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139"/>
      <c r="X586" s="95"/>
      <c r="Y586" s="95"/>
      <c r="Z586" s="95"/>
      <c r="AA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139"/>
      <c r="X587" s="95"/>
      <c r="Y587" s="95"/>
      <c r="Z587" s="95"/>
      <c r="AA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139"/>
      <c r="X588" s="95"/>
      <c r="Y588" s="95"/>
      <c r="Z588" s="95"/>
      <c r="AA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139"/>
      <c r="X589" s="95"/>
      <c r="Y589" s="95"/>
      <c r="Z589" s="95"/>
      <c r="AA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139"/>
      <c r="X590" s="95"/>
      <c r="Y590" s="95"/>
      <c r="Z590" s="95"/>
      <c r="AA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139"/>
      <c r="X591" s="95"/>
      <c r="Y591" s="95"/>
      <c r="Z591" s="95"/>
      <c r="AA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139"/>
      <c r="X592" s="95"/>
      <c r="Y592" s="95"/>
      <c r="Z592" s="95"/>
      <c r="AA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139"/>
      <c r="X593" s="95"/>
      <c r="Y593" s="95"/>
      <c r="Z593" s="95"/>
      <c r="AA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139"/>
      <c r="X594" s="95"/>
      <c r="Y594" s="95"/>
      <c r="Z594" s="95"/>
      <c r="AA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139"/>
      <c r="X595" s="95"/>
      <c r="Y595" s="95"/>
      <c r="Z595" s="95"/>
      <c r="AA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139"/>
      <c r="X596" s="95"/>
      <c r="Y596" s="95"/>
      <c r="Z596" s="95"/>
      <c r="AA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139"/>
      <c r="X597" s="95"/>
      <c r="Y597" s="95"/>
      <c r="Z597" s="95"/>
      <c r="AA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139"/>
      <c r="X598" s="95"/>
      <c r="Y598" s="95"/>
      <c r="Z598" s="95"/>
      <c r="AA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139"/>
      <c r="X599" s="95"/>
      <c r="Y599" s="95"/>
      <c r="Z599" s="95"/>
      <c r="AA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139"/>
      <c r="X600" s="95"/>
      <c r="Y600" s="95"/>
      <c r="Z600" s="95"/>
      <c r="AA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139"/>
      <c r="X601" s="95"/>
      <c r="Y601" s="95"/>
      <c r="Z601" s="95"/>
      <c r="AA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139"/>
      <c r="X602" s="95"/>
      <c r="Y602" s="95"/>
      <c r="Z602" s="95"/>
      <c r="AA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139"/>
      <c r="X603" s="95"/>
      <c r="Y603" s="95"/>
      <c r="Z603" s="95"/>
      <c r="AA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139"/>
      <c r="X604" s="95"/>
      <c r="Y604" s="95"/>
      <c r="Z604" s="95"/>
      <c r="AA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139"/>
      <c r="X605" s="95"/>
      <c r="Y605" s="95"/>
      <c r="Z605" s="95"/>
      <c r="AA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139"/>
      <c r="X606" s="95"/>
      <c r="Y606" s="95"/>
      <c r="Z606" s="95"/>
      <c r="AA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139"/>
      <c r="X607" s="95"/>
      <c r="Y607" s="95"/>
      <c r="Z607" s="95"/>
      <c r="AA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139"/>
      <c r="X608" s="95"/>
      <c r="Y608" s="95"/>
      <c r="Z608" s="95"/>
      <c r="AA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139"/>
      <c r="X609" s="95"/>
      <c r="Y609" s="95"/>
      <c r="Z609" s="95"/>
      <c r="AA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139"/>
      <c r="X610" s="95"/>
      <c r="Y610" s="95"/>
      <c r="Z610" s="95"/>
      <c r="AA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139"/>
      <c r="X611" s="95"/>
      <c r="Y611" s="95"/>
      <c r="Z611" s="95"/>
      <c r="AA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139"/>
      <c r="X612" s="95"/>
      <c r="Y612" s="95"/>
      <c r="Z612" s="95"/>
      <c r="AA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139"/>
      <c r="X613" s="95"/>
      <c r="Y613" s="95"/>
      <c r="Z613" s="95"/>
      <c r="AA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139"/>
      <c r="X614" s="95"/>
      <c r="Y614" s="95"/>
      <c r="Z614" s="95"/>
      <c r="AA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139"/>
      <c r="X615" s="95"/>
      <c r="Y615" s="95"/>
      <c r="Z615" s="95"/>
      <c r="AA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139"/>
      <c r="X616" s="95"/>
      <c r="Y616" s="95"/>
      <c r="Z616" s="95"/>
      <c r="AA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139"/>
      <c r="X617" s="95"/>
      <c r="Y617" s="95"/>
      <c r="Z617" s="95"/>
      <c r="AA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139"/>
      <c r="X618" s="95"/>
      <c r="Y618" s="95"/>
      <c r="Z618" s="95"/>
      <c r="AA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139"/>
      <c r="X619" s="95"/>
      <c r="Y619" s="95"/>
      <c r="Z619" s="95"/>
      <c r="AA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139"/>
      <c r="X620" s="95"/>
      <c r="Y620" s="95"/>
      <c r="Z620" s="95"/>
      <c r="AA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139"/>
      <c r="X621" s="95"/>
      <c r="Y621" s="95"/>
      <c r="Z621" s="95"/>
      <c r="AA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139"/>
      <c r="X622" s="95"/>
      <c r="Y622" s="95"/>
      <c r="Z622" s="95"/>
      <c r="AA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139"/>
      <c r="X623" s="95"/>
      <c r="Y623" s="95"/>
      <c r="Z623" s="95"/>
      <c r="AA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139"/>
      <c r="X624" s="95"/>
      <c r="Y624" s="95"/>
      <c r="Z624" s="95"/>
      <c r="AA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139"/>
      <c r="X625" s="95"/>
      <c r="Y625" s="95"/>
      <c r="Z625" s="95"/>
      <c r="AA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139"/>
      <c r="X626" s="95"/>
      <c r="Y626" s="95"/>
      <c r="Z626" s="95"/>
      <c r="AA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139"/>
      <c r="X627" s="95"/>
      <c r="Y627" s="95"/>
      <c r="Z627" s="95"/>
      <c r="AA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139"/>
      <c r="X628" s="95"/>
      <c r="Y628" s="95"/>
      <c r="Z628" s="95"/>
      <c r="AA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139"/>
      <c r="X629" s="95"/>
      <c r="Y629" s="95"/>
      <c r="Z629" s="95"/>
      <c r="AA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139"/>
      <c r="X630" s="95"/>
      <c r="Y630" s="95"/>
      <c r="Z630" s="95"/>
      <c r="AA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139"/>
      <c r="X631" s="95"/>
      <c r="Y631" s="95"/>
      <c r="Z631" s="95"/>
      <c r="AA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139"/>
      <c r="X632" s="95"/>
      <c r="Y632" s="95"/>
      <c r="Z632" s="95"/>
      <c r="AA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139"/>
      <c r="X633" s="95"/>
      <c r="Y633" s="95"/>
      <c r="Z633" s="95"/>
      <c r="AA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139"/>
      <c r="X634" s="95"/>
      <c r="Y634" s="95"/>
      <c r="Z634" s="95"/>
      <c r="AA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139"/>
      <c r="X635" s="95"/>
      <c r="Y635" s="95"/>
      <c r="Z635" s="95"/>
      <c r="AA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139"/>
      <c r="X636" s="95"/>
      <c r="Y636" s="95"/>
      <c r="Z636" s="95"/>
      <c r="AA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139"/>
      <c r="X637" s="95"/>
      <c r="Y637" s="95"/>
      <c r="Z637" s="95"/>
      <c r="AA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139"/>
      <c r="X638" s="95"/>
      <c r="Y638" s="95"/>
      <c r="Z638" s="95"/>
      <c r="AA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139"/>
      <c r="X639" s="95"/>
      <c r="Y639" s="95"/>
      <c r="Z639" s="95"/>
      <c r="AA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139"/>
      <c r="X640" s="95"/>
      <c r="Y640" s="95"/>
      <c r="Z640" s="95"/>
      <c r="AA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139"/>
      <c r="X641" s="95"/>
      <c r="Y641" s="95"/>
      <c r="Z641" s="95"/>
      <c r="AA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139"/>
      <c r="X642" s="95"/>
      <c r="Y642" s="95"/>
      <c r="Z642" s="95"/>
      <c r="AA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139"/>
      <c r="X643" s="95"/>
      <c r="Y643" s="95"/>
      <c r="Z643" s="95"/>
      <c r="AA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139"/>
      <c r="X644" s="95"/>
      <c r="Y644" s="95"/>
      <c r="Z644" s="95"/>
      <c r="AA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139"/>
      <c r="X645" s="95"/>
      <c r="Y645" s="95"/>
      <c r="Z645" s="95"/>
      <c r="AA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139"/>
      <c r="X646" s="95"/>
      <c r="Y646" s="95"/>
      <c r="Z646" s="95"/>
      <c r="AA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139"/>
      <c r="X647" s="95"/>
      <c r="Y647" s="95"/>
      <c r="Z647" s="95"/>
      <c r="AA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139"/>
      <c r="X648" s="95"/>
      <c r="Y648" s="95"/>
      <c r="Z648" s="95"/>
      <c r="AA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139"/>
      <c r="X649" s="95"/>
      <c r="Y649" s="95"/>
      <c r="Z649" s="95"/>
      <c r="AA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139"/>
      <c r="X650" s="95"/>
      <c r="Y650" s="95"/>
      <c r="Z650" s="95"/>
      <c r="AA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139"/>
      <c r="X651" s="95"/>
      <c r="Y651" s="95"/>
      <c r="Z651" s="95"/>
      <c r="AA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139"/>
      <c r="X652" s="95"/>
      <c r="Y652" s="95"/>
      <c r="Z652" s="95"/>
      <c r="AA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139"/>
      <c r="X653" s="95"/>
      <c r="Y653" s="95"/>
      <c r="Z653" s="95"/>
      <c r="AA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139"/>
      <c r="X654" s="95"/>
      <c r="Y654" s="95"/>
      <c r="Z654" s="95"/>
      <c r="AA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139"/>
      <c r="X655" s="95"/>
      <c r="Y655" s="95"/>
      <c r="Z655" s="95"/>
      <c r="AA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139"/>
      <c r="X656" s="95"/>
      <c r="Y656" s="95"/>
      <c r="Z656" s="95"/>
      <c r="AA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139"/>
      <c r="X657" s="95"/>
      <c r="Y657" s="95"/>
      <c r="Z657" s="95"/>
      <c r="AA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139"/>
      <c r="X658" s="95"/>
      <c r="Y658" s="95"/>
      <c r="Z658" s="95"/>
      <c r="AA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139"/>
      <c r="X659" s="95"/>
      <c r="Y659" s="95"/>
      <c r="Z659" s="95"/>
      <c r="AA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139"/>
      <c r="X660" s="95"/>
      <c r="Y660" s="95"/>
      <c r="Z660" s="95"/>
      <c r="AA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139"/>
      <c r="X661" s="95"/>
      <c r="Y661" s="95"/>
      <c r="Z661" s="95"/>
      <c r="AA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139"/>
      <c r="X662" s="95"/>
      <c r="Y662" s="95"/>
      <c r="Z662" s="95"/>
      <c r="AA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139"/>
      <c r="X663" s="95"/>
      <c r="Y663" s="95"/>
      <c r="Z663" s="95"/>
      <c r="AA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139"/>
      <c r="X664" s="95"/>
      <c r="Y664" s="95"/>
      <c r="Z664" s="95"/>
      <c r="AA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139"/>
      <c r="X665" s="95"/>
      <c r="Y665" s="95"/>
      <c r="Z665" s="95"/>
      <c r="AA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139"/>
      <c r="X666" s="95"/>
      <c r="Y666" s="95"/>
      <c r="Z666" s="95"/>
      <c r="AA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139"/>
      <c r="X667" s="95"/>
      <c r="Y667" s="95"/>
      <c r="Z667" s="95"/>
      <c r="AA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139"/>
      <c r="X668" s="95"/>
      <c r="Y668" s="95"/>
      <c r="Z668" s="95"/>
      <c r="AA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139"/>
      <c r="X669" s="95"/>
      <c r="Y669" s="95"/>
      <c r="Z669" s="95"/>
      <c r="AA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139"/>
      <c r="X670" s="95"/>
      <c r="Y670" s="95"/>
      <c r="Z670" s="95"/>
      <c r="AA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139"/>
      <c r="X671" s="95"/>
      <c r="Y671" s="95"/>
      <c r="Z671" s="95"/>
      <c r="AA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139"/>
      <c r="X672" s="95"/>
      <c r="Y672" s="95"/>
      <c r="Z672" s="95"/>
      <c r="AA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139"/>
      <c r="X673" s="95"/>
      <c r="Y673" s="95"/>
      <c r="Z673" s="95"/>
      <c r="AA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139"/>
      <c r="X674" s="95"/>
      <c r="Y674" s="95"/>
      <c r="Z674" s="95"/>
      <c r="AA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139"/>
      <c r="X675" s="95"/>
      <c r="Y675" s="95"/>
      <c r="Z675" s="95"/>
      <c r="AA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139"/>
      <c r="X676" s="95"/>
      <c r="Y676" s="95"/>
      <c r="Z676" s="95"/>
      <c r="AA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139"/>
      <c r="X677" s="95"/>
      <c r="Y677" s="95"/>
      <c r="Z677" s="95"/>
      <c r="AA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139"/>
      <c r="X678" s="95"/>
      <c r="Y678" s="95"/>
      <c r="Z678" s="95"/>
      <c r="AA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139"/>
      <c r="X679" s="95"/>
      <c r="Y679" s="95"/>
      <c r="Z679" s="95"/>
      <c r="AA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139"/>
      <c r="X680" s="95"/>
      <c r="Y680" s="95"/>
      <c r="Z680" s="95"/>
      <c r="AA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139"/>
      <c r="X681" s="95"/>
      <c r="Y681" s="95"/>
      <c r="Z681" s="95"/>
      <c r="AA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139"/>
      <c r="X682" s="95"/>
      <c r="Y682" s="95"/>
      <c r="Z682" s="95"/>
      <c r="AA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139"/>
      <c r="X683" s="95"/>
      <c r="Y683" s="95"/>
      <c r="Z683" s="95"/>
      <c r="AA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139"/>
      <c r="X684" s="95"/>
      <c r="Y684" s="95"/>
      <c r="Z684" s="95"/>
      <c r="AA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139"/>
      <c r="X685" s="95"/>
      <c r="Y685" s="95"/>
      <c r="Z685" s="95"/>
      <c r="AA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139"/>
      <c r="X686" s="95"/>
      <c r="Y686" s="95"/>
      <c r="Z686" s="95"/>
      <c r="AA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139"/>
      <c r="X687" s="95"/>
      <c r="Y687" s="95"/>
      <c r="Z687" s="95"/>
      <c r="AA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139"/>
      <c r="X688" s="95"/>
      <c r="Y688" s="95"/>
      <c r="Z688" s="95"/>
      <c r="AA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139"/>
      <c r="X689" s="95"/>
      <c r="Y689" s="95"/>
      <c r="Z689" s="95"/>
      <c r="AA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139"/>
      <c r="X690" s="95"/>
      <c r="Y690" s="95"/>
      <c r="Z690" s="95"/>
      <c r="AA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139"/>
      <c r="X691" s="95"/>
      <c r="Y691" s="95"/>
      <c r="Z691" s="95"/>
      <c r="AA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139"/>
      <c r="X692" s="95"/>
      <c r="Y692" s="95"/>
      <c r="Z692" s="95"/>
      <c r="AA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139"/>
      <c r="X693" s="95"/>
      <c r="Y693" s="95"/>
      <c r="Z693" s="95"/>
      <c r="AA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139"/>
      <c r="X694" s="95"/>
      <c r="Y694" s="95"/>
      <c r="Z694" s="95"/>
      <c r="AA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139"/>
      <c r="X695" s="95"/>
      <c r="Y695" s="95"/>
      <c r="Z695" s="95"/>
      <c r="AA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139"/>
      <c r="X696" s="95"/>
      <c r="Y696" s="95"/>
      <c r="Z696" s="95"/>
      <c r="AA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139"/>
      <c r="X697" s="95"/>
      <c r="Y697" s="95"/>
      <c r="Z697" s="95"/>
      <c r="AA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139"/>
      <c r="X698" s="95"/>
      <c r="Y698" s="95"/>
      <c r="Z698" s="95"/>
      <c r="AA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139"/>
      <c r="X699" s="95"/>
      <c r="Y699" s="95"/>
      <c r="Z699" s="95"/>
      <c r="AA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139"/>
      <c r="X700" s="95"/>
      <c r="Y700" s="95"/>
      <c r="Z700" s="95"/>
      <c r="AA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139"/>
      <c r="X701" s="95"/>
      <c r="Y701" s="95"/>
      <c r="Z701" s="95"/>
      <c r="AA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139"/>
      <c r="X702" s="95"/>
      <c r="Y702" s="95"/>
      <c r="Z702" s="95"/>
      <c r="AA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139"/>
      <c r="X703" s="95"/>
      <c r="Y703" s="95"/>
      <c r="Z703" s="95"/>
      <c r="AA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139"/>
      <c r="X704" s="95"/>
      <c r="Y704" s="95"/>
      <c r="Z704" s="95"/>
      <c r="AA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139"/>
      <c r="X705" s="95"/>
      <c r="Y705" s="95"/>
      <c r="Z705" s="95"/>
      <c r="AA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139"/>
      <c r="X706" s="95"/>
      <c r="Y706" s="95"/>
      <c r="Z706" s="95"/>
      <c r="AA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139"/>
      <c r="X707" s="95"/>
      <c r="Y707" s="95"/>
      <c r="Z707" s="95"/>
      <c r="AA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139"/>
      <c r="X708" s="95"/>
      <c r="Y708" s="95"/>
      <c r="Z708" s="95"/>
      <c r="AA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139"/>
      <c r="X709" s="95"/>
      <c r="Y709" s="95"/>
      <c r="Z709" s="95"/>
      <c r="AA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139"/>
      <c r="X710" s="95"/>
      <c r="Y710" s="95"/>
      <c r="Z710" s="95"/>
      <c r="AA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139"/>
      <c r="X711" s="95"/>
      <c r="Y711" s="95"/>
      <c r="Z711" s="95"/>
      <c r="AA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139"/>
      <c r="X712" s="95"/>
      <c r="Y712" s="95"/>
      <c r="Z712" s="95"/>
      <c r="AA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139"/>
      <c r="X713" s="95"/>
      <c r="Y713" s="95"/>
      <c r="Z713" s="95"/>
      <c r="AA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139"/>
      <c r="X714" s="95"/>
      <c r="Y714" s="95"/>
      <c r="Z714" s="95"/>
      <c r="AA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139"/>
      <c r="X715" s="95"/>
      <c r="Y715" s="95"/>
      <c r="Z715" s="95"/>
      <c r="AA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139"/>
      <c r="X716" s="95"/>
      <c r="Y716" s="95"/>
      <c r="Z716" s="95"/>
      <c r="AA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139"/>
      <c r="X717" s="95"/>
      <c r="Y717" s="95"/>
      <c r="Z717" s="95"/>
      <c r="AA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139"/>
      <c r="X718" s="95"/>
      <c r="Y718" s="95"/>
      <c r="Z718" s="95"/>
      <c r="AA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139"/>
      <c r="X719" s="95"/>
      <c r="Y719" s="95"/>
      <c r="Z719" s="95"/>
      <c r="AA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139"/>
      <c r="X720" s="95"/>
      <c r="Y720" s="95"/>
      <c r="Z720" s="95"/>
      <c r="AA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139"/>
      <c r="X721" s="95"/>
      <c r="Y721" s="95"/>
      <c r="Z721" s="95"/>
      <c r="AA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139"/>
      <c r="X722" s="95"/>
      <c r="Y722" s="95"/>
      <c r="Z722" s="95"/>
      <c r="AA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139"/>
      <c r="X723" s="95"/>
      <c r="Y723" s="95"/>
      <c r="Z723" s="95"/>
      <c r="AA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139"/>
      <c r="X724" s="95"/>
      <c r="Y724" s="95"/>
      <c r="Z724" s="95"/>
      <c r="AA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139"/>
      <c r="X725" s="95"/>
      <c r="Y725" s="95"/>
      <c r="Z725" s="95"/>
      <c r="AA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139"/>
      <c r="X726" s="95"/>
      <c r="Y726" s="95"/>
      <c r="Z726" s="95"/>
      <c r="AA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139"/>
      <c r="X727" s="95"/>
      <c r="Y727" s="95"/>
      <c r="Z727" s="95"/>
      <c r="AA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139"/>
      <c r="X728" s="95"/>
      <c r="Y728" s="95"/>
      <c r="Z728" s="95"/>
      <c r="AA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139"/>
      <c r="X729" s="95"/>
      <c r="Y729" s="95"/>
      <c r="Z729" s="95"/>
      <c r="AA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139"/>
      <c r="X730" s="95"/>
      <c r="Y730" s="95"/>
      <c r="Z730" s="95"/>
      <c r="AA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139"/>
      <c r="X731" s="95"/>
      <c r="Y731" s="95"/>
      <c r="Z731" s="95"/>
      <c r="AA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139"/>
      <c r="X732" s="95"/>
      <c r="Y732" s="95"/>
      <c r="Z732" s="95"/>
      <c r="AA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139"/>
      <c r="X733" s="95"/>
      <c r="Y733" s="95"/>
      <c r="Z733" s="95"/>
      <c r="AA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139"/>
      <c r="X734" s="95"/>
      <c r="Y734" s="95"/>
      <c r="Z734" s="95"/>
      <c r="AA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139"/>
      <c r="X735" s="95"/>
      <c r="Y735" s="95"/>
      <c r="Z735" s="95"/>
      <c r="AA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139"/>
      <c r="X736" s="95"/>
      <c r="Y736" s="95"/>
      <c r="Z736" s="95"/>
      <c r="AA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139"/>
      <c r="X737" s="95"/>
      <c r="Y737" s="95"/>
      <c r="Z737" s="95"/>
      <c r="AA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139"/>
      <c r="X738" s="95"/>
      <c r="Y738" s="95"/>
      <c r="Z738" s="95"/>
      <c r="AA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139"/>
      <c r="X739" s="95"/>
      <c r="Y739" s="95"/>
      <c r="Z739" s="95"/>
      <c r="AA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139"/>
      <c r="X740" s="95"/>
      <c r="Y740" s="95"/>
      <c r="Z740" s="95"/>
      <c r="AA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139"/>
      <c r="X741" s="95"/>
      <c r="Y741" s="95"/>
      <c r="Z741" s="95"/>
      <c r="AA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139"/>
      <c r="X742" s="95"/>
      <c r="Y742" s="95"/>
      <c r="Z742" s="95"/>
      <c r="AA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139"/>
      <c r="X743" s="95"/>
      <c r="Y743" s="95"/>
      <c r="Z743" s="95"/>
      <c r="AA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139"/>
      <c r="X744" s="95"/>
      <c r="Y744" s="95"/>
      <c r="Z744" s="95"/>
      <c r="AA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139"/>
      <c r="X745" s="95"/>
      <c r="Y745" s="95"/>
      <c r="Z745" s="95"/>
      <c r="AA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139"/>
      <c r="X746" s="95"/>
      <c r="Y746" s="95"/>
      <c r="Z746" s="95"/>
      <c r="AA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139"/>
      <c r="X747" s="95"/>
      <c r="Y747" s="95"/>
      <c r="Z747" s="95"/>
      <c r="AA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139"/>
      <c r="X748" s="95"/>
      <c r="Y748" s="95"/>
      <c r="Z748" s="95"/>
      <c r="AA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139"/>
      <c r="X749" s="95"/>
      <c r="Y749" s="95"/>
      <c r="Z749" s="95"/>
      <c r="AA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139"/>
      <c r="X750" s="95"/>
      <c r="Y750" s="95"/>
      <c r="Z750" s="95"/>
      <c r="AA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139"/>
      <c r="X751" s="95"/>
      <c r="Y751" s="95"/>
      <c r="Z751" s="95"/>
      <c r="AA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139"/>
      <c r="X752" s="95"/>
      <c r="Y752" s="95"/>
      <c r="Z752" s="95"/>
      <c r="AA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139"/>
      <c r="X753" s="95"/>
      <c r="Y753" s="95"/>
      <c r="Z753" s="95"/>
      <c r="AA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139"/>
      <c r="X754" s="95"/>
      <c r="Y754" s="95"/>
      <c r="Z754" s="95"/>
      <c r="AA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139"/>
      <c r="X755" s="95"/>
      <c r="Y755" s="95"/>
      <c r="Z755" s="95"/>
      <c r="AA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139"/>
      <c r="X756" s="95"/>
      <c r="Y756" s="95"/>
      <c r="Z756" s="95"/>
      <c r="AA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139"/>
      <c r="X757" s="95"/>
      <c r="Y757" s="95"/>
      <c r="Z757" s="95"/>
      <c r="AA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139"/>
      <c r="X758" s="95"/>
      <c r="Y758" s="95"/>
      <c r="Z758" s="95"/>
      <c r="AA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139"/>
      <c r="X759" s="95"/>
      <c r="Y759" s="95"/>
      <c r="Z759" s="95"/>
      <c r="AA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139"/>
      <c r="X760" s="95"/>
      <c r="Y760" s="95"/>
      <c r="Z760" s="95"/>
      <c r="AA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139"/>
      <c r="X761" s="95"/>
      <c r="Y761" s="95"/>
      <c r="Z761" s="95"/>
      <c r="AA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139"/>
      <c r="X762" s="95"/>
      <c r="Y762" s="95"/>
      <c r="Z762" s="95"/>
      <c r="AA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139"/>
      <c r="X763" s="95"/>
      <c r="Y763" s="95"/>
      <c r="Z763" s="95"/>
      <c r="AA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139"/>
      <c r="X764" s="95"/>
      <c r="Y764" s="95"/>
      <c r="Z764" s="95"/>
      <c r="AA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139"/>
      <c r="X765" s="95"/>
      <c r="Y765" s="95"/>
      <c r="Z765" s="95"/>
      <c r="AA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139"/>
      <c r="X766" s="95"/>
      <c r="Y766" s="95"/>
      <c r="Z766" s="95"/>
      <c r="AA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139"/>
      <c r="X767" s="95"/>
      <c r="Y767" s="95"/>
      <c r="Z767" s="95"/>
      <c r="AA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139"/>
      <c r="X768" s="95"/>
      <c r="Y768" s="95"/>
      <c r="Z768" s="95"/>
      <c r="AA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139"/>
      <c r="X769" s="95"/>
      <c r="Y769" s="95"/>
      <c r="Z769" s="95"/>
      <c r="AA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139"/>
      <c r="X770" s="95"/>
      <c r="Y770" s="95"/>
      <c r="Z770" s="95"/>
      <c r="AA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139"/>
      <c r="X771" s="95"/>
      <c r="Y771" s="95"/>
      <c r="Z771" s="95"/>
      <c r="AA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139"/>
      <c r="X772" s="95"/>
      <c r="Y772" s="95"/>
      <c r="Z772" s="95"/>
      <c r="AA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139"/>
      <c r="X773" s="95"/>
      <c r="Y773" s="95"/>
      <c r="Z773" s="95"/>
      <c r="AA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139"/>
      <c r="X774" s="95"/>
      <c r="Y774" s="95"/>
      <c r="Z774" s="95"/>
      <c r="AA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139"/>
      <c r="X775" s="95"/>
      <c r="Y775" s="95"/>
      <c r="Z775" s="95"/>
      <c r="AA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139"/>
      <c r="X776" s="95"/>
      <c r="Y776" s="95"/>
      <c r="Z776" s="95"/>
      <c r="AA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139"/>
      <c r="X777" s="95"/>
      <c r="Y777" s="95"/>
      <c r="Z777" s="95"/>
      <c r="AA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139"/>
      <c r="X778" s="95"/>
      <c r="Y778" s="95"/>
      <c r="Z778" s="95"/>
      <c r="AA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139"/>
      <c r="X779" s="95"/>
      <c r="Y779" s="95"/>
      <c r="Z779" s="95"/>
      <c r="AA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139"/>
      <c r="X780" s="95"/>
      <c r="Y780" s="95"/>
      <c r="Z780" s="95"/>
      <c r="AA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139"/>
      <c r="X781" s="95"/>
      <c r="Y781" s="95"/>
      <c r="Z781" s="95"/>
      <c r="AA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139"/>
      <c r="X782" s="95"/>
      <c r="Y782" s="95"/>
      <c r="Z782" s="95"/>
      <c r="AA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139"/>
      <c r="X783" s="95"/>
      <c r="Y783" s="95"/>
      <c r="Z783" s="95"/>
      <c r="AA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139"/>
      <c r="X784" s="95"/>
      <c r="Y784" s="95"/>
      <c r="Z784" s="95"/>
      <c r="AA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139"/>
      <c r="X785" s="95"/>
      <c r="Y785" s="95"/>
      <c r="Z785" s="95"/>
      <c r="AA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139"/>
      <c r="X786" s="95"/>
      <c r="Y786" s="95"/>
      <c r="Z786" s="95"/>
      <c r="AA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139"/>
      <c r="X787" s="95"/>
      <c r="Y787" s="95"/>
      <c r="Z787" s="95"/>
      <c r="AA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139"/>
      <c r="X788" s="95"/>
      <c r="Y788" s="95"/>
      <c r="Z788" s="95"/>
      <c r="AA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139"/>
      <c r="X789" s="95"/>
      <c r="Y789" s="95"/>
      <c r="Z789" s="95"/>
      <c r="AA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139"/>
      <c r="X790" s="95"/>
      <c r="Y790" s="95"/>
      <c r="Z790" s="95"/>
      <c r="AA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139"/>
      <c r="X791" s="95"/>
      <c r="Y791" s="95"/>
      <c r="Z791" s="95"/>
      <c r="AA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139"/>
      <c r="X792" s="95"/>
      <c r="Y792" s="95"/>
      <c r="Z792" s="95"/>
      <c r="AA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139"/>
      <c r="X793" s="95"/>
      <c r="Y793" s="95"/>
      <c r="Z793" s="95"/>
      <c r="AA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139"/>
      <c r="X794" s="95"/>
      <c r="Y794" s="95"/>
      <c r="Z794" s="95"/>
      <c r="AA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139"/>
      <c r="X795" s="95"/>
      <c r="Y795" s="95"/>
      <c r="Z795" s="95"/>
      <c r="AA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139"/>
      <c r="X796" s="95"/>
      <c r="Y796" s="95"/>
      <c r="Z796" s="95"/>
      <c r="AA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139"/>
      <c r="X797" s="95"/>
      <c r="Y797" s="95"/>
      <c r="Z797" s="95"/>
      <c r="AA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139"/>
      <c r="X798" s="95"/>
      <c r="Y798" s="95"/>
      <c r="Z798" s="95"/>
      <c r="AA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139"/>
      <c r="X799" s="95"/>
      <c r="Y799" s="95"/>
      <c r="Z799" s="95"/>
      <c r="AA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139"/>
      <c r="X800" s="95"/>
      <c r="Y800" s="95"/>
      <c r="Z800" s="95"/>
      <c r="AA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139"/>
      <c r="X801" s="95"/>
      <c r="Y801" s="95"/>
      <c r="Z801" s="95"/>
      <c r="AA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139"/>
      <c r="X802" s="95"/>
      <c r="Y802" s="95"/>
      <c r="Z802" s="95"/>
      <c r="AA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139"/>
      <c r="X803" s="95"/>
      <c r="Y803" s="95"/>
      <c r="Z803" s="95"/>
      <c r="AA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139"/>
      <c r="X804" s="95"/>
      <c r="Y804" s="95"/>
      <c r="Z804" s="95"/>
      <c r="AA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139"/>
      <c r="X805" s="95"/>
      <c r="Y805" s="95"/>
      <c r="Z805" s="95"/>
      <c r="AA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139"/>
      <c r="X806" s="95"/>
      <c r="Y806" s="95"/>
      <c r="Z806" s="95"/>
      <c r="AA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139"/>
      <c r="X807" s="95"/>
      <c r="Y807" s="95"/>
      <c r="Z807" s="95"/>
      <c r="AA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139"/>
      <c r="X808" s="95"/>
      <c r="Y808" s="95"/>
      <c r="Z808" s="95"/>
      <c r="AA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139"/>
      <c r="X809" s="95"/>
      <c r="Y809" s="95"/>
      <c r="Z809" s="95"/>
      <c r="AA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139"/>
      <c r="X810" s="95"/>
      <c r="Y810" s="95"/>
      <c r="Z810" s="95"/>
      <c r="AA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139"/>
      <c r="X811" s="95"/>
      <c r="Y811" s="95"/>
      <c r="Z811" s="95"/>
      <c r="AA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139"/>
      <c r="X812" s="95"/>
      <c r="Y812" s="95"/>
      <c r="Z812" s="95"/>
      <c r="AA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139"/>
      <c r="X813" s="95"/>
      <c r="Y813" s="95"/>
      <c r="Z813" s="95"/>
      <c r="AA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139"/>
      <c r="X814" s="95"/>
      <c r="Y814" s="95"/>
      <c r="Z814" s="95"/>
      <c r="AA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139"/>
      <c r="X815" s="95"/>
      <c r="Y815" s="95"/>
      <c r="Z815" s="95"/>
      <c r="AA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139"/>
      <c r="X816" s="95"/>
      <c r="Y816" s="95"/>
      <c r="Z816" s="95"/>
      <c r="AA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139"/>
      <c r="X817" s="95"/>
      <c r="Y817" s="95"/>
      <c r="Z817" s="95"/>
      <c r="AA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139"/>
      <c r="X818" s="95"/>
      <c r="Y818" s="95"/>
      <c r="Z818" s="95"/>
      <c r="AA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139"/>
      <c r="X819" s="95"/>
      <c r="Y819" s="95"/>
      <c r="Z819" s="95"/>
      <c r="AA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139"/>
      <c r="X820" s="95"/>
      <c r="Y820" s="95"/>
      <c r="Z820" s="95"/>
      <c r="AA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139"/>
      <c r="X821" s="95"/>
      <c r="Y821" s="95"/>
      <c r="Z821" s="95"/>
      <c r="AA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139"/>
      <c r="X822" s="95"/>
      <c r="Y822" s="95"/>
      <c r="Z822" s="95"/>
      <c r="AA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139"/>
      <c r="X823" s="95"/>
      <c r="Y823" s="95"/>
      <c r="Z823" s="95"/>
      <c r="AA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139"/>
      <c r="X824" s="95"/>
      <c r="Y824" s="95"/>
      <c r="Z824" s="95"/>
      <c r="AA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139"/>
      <c r="X825" s="95"/>
      <c r="Y825" s="95"/>
      <c r="Z825" s="95"/>
      <c r="AA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139"/>
      <c r="X826" s="95"/>
      <c r="Y826" s="95"/>
      <c r="Z826" s="95"/>
      <c r="AA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139"/>
      <c r="X827" s="95"/>
      <c r="Y827" s="95"/>
      <c r="Z827" s="95"/>
      <c r="AA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139"/>
      <c r="X828" s="95"/>
      <c r="Y828" s="95"/>
      <c r="Z828" s="95"/>
      <c r="AA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139"/>
      <c r="X829" s="95"/>
      <c r="Y829" s="95"/>
      <c r="Z829" s="95"/>
      <c r="AA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139"/>
      <c r="X830" s="95"/>
      <c r="Y830" s="95"/>
      <c r="Z830" s="95"/>
      <c r="AA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139"/>
      <c r="X831" s="95"/>
      <c r="Y831" s="95"/>
      <c r="Z831" s="95"/>
      <c r="AA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139"/>
      <c r="X832" s="95"/>
      <c r="Y832" s="95"/>
      <c r="Z832" s="95"/>
      <c r="AA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139"/>
      <c r="X833" s="95"/>
      <c r="Y833" s="95"/>
      <c r="Z833" s="95"/>
      <c r="AA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139"/>
      <c r="X834" s="95"/>
      <c r="Y834" s="95"/>
      <c r="Z834" s="95"/>
      <c r="AA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139"/>
      <c r="X835" s="95"/>
      <c r="Y835" s="95"/>
      <c r="Z835" s="95"/>
      <c r="AA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139"/>
      <c r="X836" s="95"/>
      <c r="Y836" s="95"/>
      <c r="Z836" s="95"/>
      <c r="AA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139"/>
      <c r="X837" s="95"/>
      <c r="Y837" s="95"/>
      <c r="Z837" s="95"/>
      <c r="AA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139"/>
      <c r="X838" s="95"/>
      <c r="Y838" s="95"/>
      <c r="Z838" s="95"/>
      <c r="AA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139"/>
      <c r="X839" s="95"/>
      <c r="Y839" s="95"/>
      <c r="Z839" s="95"/>
      <c r="AA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139"/>
      <c r="X840" s="95"/>
      <c r="Y840" s="95"/>
      <c r="Z840" s="95"/>
      <c r="AA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139"/>
      <c r="X841" s="95"/>
      <c r="Y841" s="95"/>
      <c r="Z841" s="95"/>
      <c r="AA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139"/>
      <c r="X842" s="95"/>
      <c r="Y842" s="95"/>
      <c r="Z842" s="95"/>
      <c r="AA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139"/>
      <c r="X843" s="95"/>
      <c r="Y843" s="95"/>
      <c r="Z843" s="95"/>
      <c r="AA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139"/>
      <c r="X844" s="95"/>
      <c r="Y844" s="95"/>
      <c r="Z844" s="95"/>
      <c r="AA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139"/>
      <c r="X845" s="95"/>
      <c r="Y845" s="95"/>
      <c r="Z845" s="95"/>
      <c r="AA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139"/>
      <c r="X846" s="95"/>
      <c r="Y846" s="95"/>
      <c r="Z846" s="95"/>
      <c r="AA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139"/>
      <c r="X847" s="95"/>
      <c r="Y847" s="95"/>
      <c r="Z847" s="95"/>
      <c r="AA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139"/>
      <c r="X848" s="95"/>
      <c r="Y848" s="95"/>
      <c r="Z848" s="95"/>
      <c r="AA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139"/>
      <c r="X849" s="95"/>
      <c r="Y849" s="95"/>
      <c r="Z849" s="95"/>
      <c r="AA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139"/>
      <c r="X850" s="95"/>
      <c r="Y850" s="95"/>
      <c r="Z850" s="95"/>
      <c r="AA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139"/>
      <c r="X851" s="95"/>
      <c r="Y851" s="95"/>
      <c r="Z851" s="95"/>
      <c r="AA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139"/>
      <c r="X852" s="95"/>
      <c r="Y852" s="95"/>
      <c r="Z852" s="95"/>
      <c r="AA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139"/>
      <c r="X853" s="95"/>
      <c r="Y853" s="95"/>
      <c r="Z853" s="95"/>
      <c r="AA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139"/>
      <c r="X854" s="95"/>
      <c r="Y854" s="95"/>
      <c r="Z854" s="95"/>
      <c r="AA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139"/>
      <c r="X855" s="95"/>
      <c r="Y855" s="95"/>
      <c r="Z855" s="95"/>
      <c r="AA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139"/>
      <c r="X856" s="95"/>
      <c r="Y856" s="95"/>
      <c r="Z856" s="95"/>
      <c r="AA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139"/>
      <c r="X857" s="95"/>
      <c r="Y857" s="95"/>
      <c r="Z857" s="95"/>
      <c r="AA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139"/>
      <c r="X858" s="95"/>
      <c r="Y858" s="95"/>
      <c r="Z858" s="95"/>
      <c r="AA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139"/>
      <c r="X859" s="95"/>
      <c r="Y859" s="95"/>
      <c r="Z859" s="95"/>
      <c r="AA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139"/>
      <c r="X860" s="95"/>
      <c r="Y860" s="95"/>
      <c r="Z860" s="95"/>
      <c r="AA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139"/>
      <c r="X861" s="95"/>
      <c r="Y861" s="95"/>
      <c r="Z861" s="95"/>
      <c r="AA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139"/>
      <c r="X862" s="95"/>
      <c r="Y862" s="95"/>
      <c r="Z862" s="95"/>
      <c r="AA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139"/>
      <c r="X863" s="95"/>
      <c r="Y863" s="95"/>
      <c r="Z863" s="95"/>
      <c r="AA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139"/>
      <c r="X864" s="95"/>
      <c r="Y864" s="95"/>
      <c r="Z864" s="95"/>
      <c r="AA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139"/>
      <c r="X865" s="95"/>
      <c r="Y865" s="95"/>
      <c r="Z865" s="95"/>
      <c r="AA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139"/>
      <c r="X866" s="95"/>
      <c r="Y866" s="95"/>
      <c r="Z866" s="95"/>
      <c r="AA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139"/>
      <c r="X867" s="95"/>
      <c r="Y867" s="95"/>
      <c r="Z867" s="95"/>
      <c r="AA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139"/>
      <c r="X868" s="95"/>
      <c r="Y868" s="95"/>
      <c r="Z868" s="95"/>
      <c r="AA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139"/>
      <c r="X869" s="95"/>
      <c r="Y869" s="95"/>
      <c r="Z869" s="95"/>
      <c r="AA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139"/>
      <c r="X870" s="95"/>
      <c r="Y870" s="95"/>
      <c r="Z870" s="95"/>
      <c r="AA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139"/>
      <c r="X871" s="95"/>
      <c r="Y871" s="95"/>
      <c r="Z871" s="95"/>
      <c r="AA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139"/>
      <c r="X872" s="95"/>
      <c r="Y872" s="95"/>
      <c r="Z872" s="95"/>
      <c r="AA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139"/>
      <c r="X873" s="95"/>
      <c r="Y873" s="95"/>
      <c r="Z873" s="95"/>
      <c r="AA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139"/>
      <c r="X874" s="95"/>
      <c r="Y874" s="95"/>
      <c r="Z874" s="95"/>
      <c r="AA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139"/>
      <c r="X875" s="95"/>
      <c r="Y875" s="95"/>
      <c r="Z875" s="95"/>
      <c r="AA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139"/>
      <c r="X876" s="95"/>
      <c r="Y876" s="95"/>
      <c r="Z876" s="95"/>
      <c r="AA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139"/>
      <c r="X877" s="95"/>
      <c r="Y877" s="95"/>
      <c r="Z877" s="95"/>
      <c r="AA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139"/>
      <c r="X878" s="95"/>
      <c r="Y878" s="95"/>
      <c r="Z878" s="95"/>
      <c r="AA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139"/>
      <c r="X879" s="95"/>
      <c r="Y879" s="95"/>
      <c r="Z879" s="95"/>
      <c r="AA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139"/>
      <c r="X880" s="95"/>
      <c r="Y880" s="95"/>
      <c r="Z880" s="95"/>
      <c r="AA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139"/>
      <c r="X881" s="95"/>
      <c r="Y881" s="95"/>
      <c r="Z881" s="95"/>
      <c r="AA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139"/>
      <c r="X882" s="95"/>
      <c r="Y882" s="95"/>
      <c r="Z882" s="95"/>
      <c r="AA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139"/>
      <c r="X883" s="95"/>
      <c r="Y883" s="95"/>
      <c r="Z883" s="95"/>
      <c r="AA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139"/>
      <c r="X884" s="95"/>
      <c r="Y884" s="95"/>
      <c r="Z884" s="95"/>
      <c r="AA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139"/>
      <c r="X885" s="95"/>
      <c r="Y885" s="95"/>
      <c r="Z885" s="95"/>
      <c r="AA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139"/>
      <c r="X886" s="95"/>
      <c r="Y886" s="95"/>
      <c r="Z886" s="95"/>
      <c r="AA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139"/>
      <c r="X887" s="95"/>
      <c r="Y887" s="95"/>
      <c r="Z887" s="95"/>
      <c r="AA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139"/>
      <c r="X888" s="95"/>
      <c r="Y888" s="95"/>
      <c r="Z888" s="95"/>
      <c r="AA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139"/>
      <c r="X889" s="95"/>
      <c r="Y889" s="95"/>
      <c r="Z889" s="95"/>
      <c r="AA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139"/>
      <c r="X890" s="95"/>
      <c r="Y890" s="95"/>
      <c r="Z890" s="95"/>
      <c r="AA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139"/>
      <c r="X891" s="95"/>
      <c r="Y891" s="95"/>
      <c r="Z891" s="95"/>
      <c r="AA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139"/>
      <c r="X892" s="95"/>
      <c r="Y892" s="95"/>
      <c r="Z892" s="95"/>
      <c r="AA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139"/>
      <c r="X893" s="95"/>
      <c r="Y893" s="95"/>
      <c r="Z893" s="95"/>
      <c r="AA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139"/>
      <c r="X894" s="95"/>
      <c r="Y894" s="95"/>
      <c r="Z894" s="95"/>
      <c r="AA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139"/>
      <c r="X895" s="95"/>
      <c r="Y895" s="95"/>
      <c r="Z895" s="95"/>
      <c r="AA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139"/>
      <c r="X896" s="95"/>
      <c r="Y896" s="95"/>
      <c r="Z896" s="95"/>
      <c r="AA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139"/>
      <c r="X897" s="95"/>
      <c r="Y897" s="95"/>
      <c r="Z897" s="95"/>
      <c r="AA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139"/>
      <c r="X898" s="95"/>
      <c r="Y898" s="95"/>
      <c r="Z898" s="95"/>
      <c r="AA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139"/>
      <c r="X899" s="95"/>
      <c r="Y899" s="95"/>
      <c r="Z899" s="95"/>
      <c r="AA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139"/>
      <c r="X900" s="95"/>
      <c r="Y900" s="95"/>
      <c r="Z900" s="95"/>
      <c r="AA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139"/>
      <c r="X901" s="95"/>
      <c r="Y901" s="95"/>
      <c r="Z901" s="95"/>
      <c r="AA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139"/>
      <c r="X902" s="95"/>
      <c r="Y902" s="95"/>
      <c r="Z902" s="95"/>
      <c r="AA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139"/>
      <c r="X903" s="95"/>
      <c r="Y903" s="95"/>
      <c r="Z903" s="95"/>
      <c r="AA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139"/>
      <c r="X904" s="95"/>
      <c r="Y904" s="95"/>
      <c r="Z904" s="95"/>
      <c r="AA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139"/>
      <c r="X905" s="95"/>
      <c r="Y905" s="95"/>
      <c r="Z905" s="95"/>
      <c r="AA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139"/>
      <c r="X906" s="95"/>
      <c r="Y906" s="95"/>
      <c r="Z906" s="95"/>
      <c r="AA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139"/>
      <c r="X907" s="95"/>
      <c r="Y907" s="95"/>
      <c r="Z907" s="95"/>
      <c r="AA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139"/>
      <c r="X908" s="95"/>
      <c r="Y908" s="95"/>
      <c r="Z908" s="95"/>
      <c r="AA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139"/>
      <c r="X909" s="95"/>
      <c r="Y909" s="95"/>
      <c r="Z909" s="95"/>
      <c r="AA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139"/>
      <c r="X910" s="95"/>
      <c r="Y910" s="95"/>
      <c r="Z910" s="95"/>
      <c r="AA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139"/>
      <c r="X911" s="95"/>
      <c r="Y911" s="95"/>
      <c r="Z911" s="95"/>
      <c r="AA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139"/>
      <c r="X912" s="95"/>
      <c r="Y912" s="95"/>
      <c r="Z912" s="95"/>
      <c r="AA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139"/>
      <c r="X913" s="95"/>
      <c r="Y913" s="95"/>
      <c r="Z913" s="95"/>
      <c r="AA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139"/>
      <c r="X914" s="95"/>
      <c r="Y914" s="95"/>
      <c r="Z914" s="95"/>
      <c r="AA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139"/>
      <c r="X915" s="95"/>
      <c r="Y915" s="95"/>
      <c r="Z915" s="95"/>
      <c r="AA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139"/>
      <c r="X916" s="95"/>
      <c r="Y916" s="95"/>
      <c r="Z916" s="95"/>
      <c r="AA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139"/>
      <c r="X917" s="95"/>
      <c r="Y917" s="95"/>
      <c r="Z917" s="95"/>
      <c r="AA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139"/>
      <c r="X918" s="95"/>
      <c r="Y918" s="95"/>
      <c r="Z918" s="95"/>
      <c r="AA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139"/>
      <c r="X919" s="95"/>
      <c r="Y919" s="95"/>
      <c r="Z919" s="95"/>
      <c r="AA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139"/>
      <c r="X920" s="95"/>
      <c r="Y920" s="95"/>
      <c r="Z920" s="95"/>
      <c r="AA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139"/>
      <c r="X921" s="95"/>
      <c r="Y921" s="95"/>
      <c r="Z921" s="95"/>
      <c r="AA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139"/>
      <c r="X922" s="95"/>
      <c r="Y922" s="95"/>
      <c r="Z922" s="95"/>
      <c r="AA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139"/>
      <c r="X923" s="95"/>
      <c r="Y923" s="95"/>
      <c r="Z923" s="95"/>
      <c r="AA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139"/>
      <c r="X924" s="95"/>
      <c r="Y924" s="95"/>
      <c r="Z924" s="95"/>
      <c r="AA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139"/>
      <c r="X925" s="95"/>
      <c r="Y925" s="95"/>
      <c r="Z925" s="95"/>
      <c r="AA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139"/>
      <c r="X926" s="95"/>
      <c r="Y926" s="95"/>
      <c r="Z926" s="95"/>
      <c r="AA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139"/>
      <c r="X927" s="95"/>
      <c r="Y927" s="95"/>
      <c r="Z927" s="95"/>
      <c r="AA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139"/>
      <c r="X928" s="95"/>
      <c r="Y928" s="95"/>
      <c r="Z928" s="95"/>
      <c r="AA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139"/>
      <c r="X929" s="95"/>
      <c r="Y929" s="95"/>
      <c r="Z929" s="95"/>
      <c r="AA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139"/>
      <c r="X930" s="95"/>
      <c r="Y930" s="95"/>
      <c r="Z930" s="95"/>
      <c r="AA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139"/>
      <c r="X931" s="95"/>
      <c r="Y931" s="95"/>
      <c r="Z931" s="95"/>
      <c r="AA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139"/>
      <c r="X932" s="95"/>
      <c r="Y932" s="95"/>
      <c r="Z932" s="95"/>
      <c r="AA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139"/>
      <c r="X933" s="95"/>
      <c r="Y933" s="95"/>
      <c r="Z933" s="95"/>
      <c r="AA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139"/>
      <c r="X934" s="95"/>
      <c r="Y934" s="95"/>
      <c r="Z934" s="95"/>
      <c r="AA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139"/>
      <c r="X935" s="95"/>
      <c r="Y935" s="95"/>
      <c r="Z935" s="95"/>
      <c r="AA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139"/>
      <c r="X936" s="95"/>
      <c r="Y936" s="95"/>
      <c r="Z936" s="95"/>
      <c r="AA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139"/>
      <c r="X937" s="95"/>
      <c r="Y937" s="95"/>
      <c r="Z937" s="95"/>
      <c r="AA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139"/>
      <c r="X938" s="95"/>
      <c r="Y938" s="95"/>
      <c r="Z938" s="95"/>
      <c r="AA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139"/>
      <c r="X939" s="95"/>
      <c r="Y939" s="95"/>
      <c r="Z939" s="95"/>
      <c r="AA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139"/>
      <c r="X940" s="95"/>
      <c r="Y940" s="95"/>
      <c r="Z940" s="95"/>
      <c r="AA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139"/>
      <c r="X941" s="95"/>
      <c r="Y941" s="95"/>
      <c r="Z941" s="95"/>
      <c r="AA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139"/>
      <c r="X942" s="95"/>
      <c r="Y942" s="95"/>
      <c r="Z942" s="95"/>
      <c r="AA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139"/>
      <c r="X943" s="95"/>
      <c r="Y943" s="95"/>
      <c r="Z943" s="95"/>
      <c r="AA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139"/>
      <c r="X944" s="95"/>
      <c r="Y944" s="95"/>
      <c r="Z944" s="95"/>
      <c r="AA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139"/>
      <c r="X945" s="95"/>
      <c r="Y945" s="95"/>
      <c r="Z945" s="95"/>
      <c r="AA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139"/>
      <c r="X946" s="95"/>
      <c r="Y946" s="95"/>
      <c r="Z946" s="95"/>
      <c r="AA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139"/>
      <c r="X947" s="95"/>
      <c r="Y947" s="95"/>
      <c r="Z947" s="95"/>
      <c r="AA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139"/>
      <c r="X948" s="95"/>
      <c r="Y948" s="95"/>
      <c r="Z948" s="95"/>
      <c r="AA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139"/>
      <c r="X949" s="95"/>
      <c r="Y949" s="95"/>
      <c r="Z949" s="95"/>
      <c r="AA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139"/>
      <c r="X950" s="95"/>
      <c r="Y950" s="95"/>
      <c r="Z950" s="95"/>
      <c r="AA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139"/>
      <c r="X951" s="95"/>
      <c r="Y951" s="95"/>
      <c r="Z951" s="95"/>
      <c r="AA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139"/>
      <c r="X952" s="95"/>
      <c r="Y952" s="95"/>
      <c r="Z952" s="95"/>
      <c r="AA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139"/>
      <c r="X953" s="95"/>
      <c r="Y953" s="95"/>
      <c r="Z953" s="95"/>
      <c r="AA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139"/>
      <c r="X954" s="95"/>
      <c r="Y954" s="95"/>
      <c r="Z954" s="95"/>
      <c r="AA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139"/>
      <c r="X955" s="95"/>
      <c r="Y955" s="95"/>
      <c r="Z955" s="95"/>
      <c r="AA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139"/>
      <c r="X956" s="95"/>
      <c r="Y956" s="95"/>
      <c r="Z956" s="95"/>
      <c r="AA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139"/>
      <c r="X957" s="95"/>
      <c r="Y957" s="95"/>
      <c r="Z957" s="95"/>
      <c r="AA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139"/>
      <c r="X958" s="95"/>
      <c r="Y958" s="95"/>
      <c r="Z958" s="95"/>
      <c r="AA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139"/>
      <c r="X959" s="95"/>
      <c r="Y959" s="95"/>
      <c r="Z959" s="95"/>
      <c r="AA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139"/>
      <c r="X960" s="95"/>
      <c r="Y960" s="95"/>
      <c r="Z960" s="95"/>
      <c r="AA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139"/>
      <c r="X961" s="95"/>
      <c r="Y961" s="95"/>
      <c r="Z961" s="95"/>
      <c r="AA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139"/>
      <c r="X962" s="95"/>
      <c r="Y962" s="95"/>
      <c r="Z962" s="95"/>
      <c r="AA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139"/>
      <c r="X963" s="95"/>
      <c r="Y963" s="95"/>
      <c r="Z963" s="95"/>
      <c r="AA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139"/>
      <c r="X964" s="95"/>
      <c r="Y964" s="95"/>
      <c r="Z964" s="95"/>
      <c r="AA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139"/>
      <c r="X965" s="95"/>
      <c r="Y965" s="95"/>
      <c r="Z965" s="95"/>
      <c r="AA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139"/>
      <c r="X966" s="95"/>
      <c r="Y966" s="95"/>
      <c r="Z966" s="95"/>
      <c r="AA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139"/>
      <c r="X967" s="95"/>
      <c r="Y967" s="95"/>
      <c r="Z967" s="95"/>
      <c r="AA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139"/>
      <c r="X968" s="95"/>
      <c r="Y968" s="95"/>
      <c r="Z968" s="95"/>
      <c r="AA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6"/>
      <c r="O969" s="96"/>
      <c r="P969" s="95"/>
      <c r="Q969" s="95"/>
      <c r="R969" s="95"/>
      <c r="S969" s="95"/>
      <c r="T969" s="95"/>
      <c r="U969" s="95"/>
      <c r="V969" s="95"/>
      <c r="W969" s="139"/>
      <c r="X969" s="95"/>
      <c r="Y969" s="95"/>
      <c r="Z969" s="95"/>
      <c r="AA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6"/>
      <c r="O970" s="96"/>
      <c r="P970" s="95"/>
      <c r="Q970" s="95"/>
      <c r="R970" s="95"/>
      <c r="S970" s="95"/>
      <c r="T970" s="95"/>
      <c r="U970" s="95"/>
      <c r="V970" s="95"/>
      <c r="W970" s="139"/>
      <c r="X970" s="95"/>
      <c r="Y970" s="95"/>
      <c r="Z970" s="95"/>
      <c r="AA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6"/>
      <c r="O971" s="96"/>
      <c r="P971" s="95"/>
      <c r="Q971" s="95"/>
      <c r="R971" s="95"/>
      <c r="S971" s="95"/>
      <c r="T971" s="95"/>
      <c r="U971" s="95"/>
      <c r="V971" s="95"/>
      <c r="W971" s="139"/>
      <c r="X971" s="95"/>
      <c r="Y971" s="95"/>
      <c r="Z971" s="95"/>
      <c r="AA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6"/>
      <c r="O972" s="96"/>
      <c r="P972" s="95"/>
      <c r="Q972" s="95"/>
      <c r="R972" s="95"/>
      <c r="S972" s="95"/>
      <c r="T972" s="95"/>
      <c r="U972" s="95"/>
      <c r="V972" s="95"/>
      <c r="W972" s="139"/>
      <c r="X972" s="95"/>
      <c r="Y972" s="95"/>
      <c r="Z972" s="95"/>
      <c r="AA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6"/>
      <c r="O973" s="96"/>
      <c r="P973" s="95"/>
      <c r="Q973" s="95"/>
      <c r="R973" s="95"/>
      <c r="S973" s="95"/>
      <c r="T973" s="95"/>
      <c r="U973" s="95"/>
      <c r="V973" s="95"/>
      <c r="W973" s="139"/>
      <c r="X973" s="95"/>
      <c r="Y973" s="95"/>
      <c r="Z973" s="95"/>
      <c r="AA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6"/>
      <c r="O974" s="96"/>
      <c r="P974" s="95"/>
      <c r="Q974" s="95"/>
      <c r="R974" s="95"/>
      <c r="S974" s="95"/>
      <c r="T974" s="95"/>
      <c r="U974" s="95"/>
      <c r="V974" s="95"/>
      <c r="W974" s="139"/>
      <c r="X974" s="95"/>
      <c r="Y974" s="95"/>
      <c r="Z974" s="95"/>
      <c r="AA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6"/>
      <c r="O975" s="96"/>
      <c r="P975" s="95"/>
      <c r="Q975" s="95"/>
      <c r="R975" s="95"/>
      <c r="S975" s="95"/>
      <c r="T975" s="95"/>
      <c r="U975" s="95"/>
      <c r="V975" s="95"/>
      <c r="W975" s="139"/>
      <c r="X975" s="95"/>
      <c r="Y975" s="95"/>
      <c r="Z975" s="95"/>
      <c r="AA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6"/>
      <c r="J976" s="96"/>
      <c r="K976" s="96"/>
      <c r="L976" s="96"/>
      <c r="M976" s="95"/>
      <c r="N976" s="96"/>
      <c r="O976" s="96"/>
      <c r="P976" s="95"/>
      <c r="Q976" s="95"/>
      <c r="R976" s="95"/>
      <c r="S976" s="95"/>
      <c r="T976" s="95"/>
      <c r="U976" s="95"/>
      <c r="V976" s="95"/>
      <c r="W976" s="139"/>
      <c r="X976" s="95"/>
      <c r="Y976" s="95"/>
      <c r="Z976" s="95"/>
      <c r="AA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6"/>
      <c r="J977" s="96"/>
      <c r="K977" s="96"/>
      <c r="L977" s="96"/>
      <c r="M977" s="95"/>
      <c r="N977" s="96"/>
      <c r="O977" s="96"/>
      <c r="P977" s="95"/>
      <c r="Q977" s="95"/>
      <c r="R977" s="95"/>
      <c r="S977" s="95"/>
      <c r="T977" s="95"/>
      <c r="U977" s="95"/>
      <c r="V977" s="95"/>
      <c r="W977" s="139"/>
      <c r="X977" s="95"/>
      <c r="Y977" s="95"/>
      <c r="Z977" s="95"/>
      <c r="AA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6"/>
      <c r="J978" s="96"/>
      <c r="K978" s="96"/>
      <c r="L978" s="96"/>
      <c r="M978" s="95"/>
      <c r="N978" s="96"/>
      <c r="O978" s="96"/>
      <c r="P978" s="95"/>
      <c r="Q978" s="95"/>
      <c r="R978" s="95"/>
      <c r="S978" s="95"/>
      <c r="T978" s="95"/>
      <c r="U978" s="95"/>
      <c r="V978" s="95"/>
      <c r="W978" s="139"/>
      <c r="X978" s="95"/>
      <c r="Y978" s="95"/>
      <c r="Z978" s="95"/>
      <c r="AA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6"/>
      <c r="J979" s="96"/>
      <c r="K979" s="96"/>
      <c r="L979" s="96"/>
      <c r="M979" s="95"/>
      <c r="N979" s="96"/>
      <c r="O979" s="96"/>
      <c r="P979" s="95"/>
      <c r="Q979" s="95"/>
      <c r="R979" s="95"/>
      <c r="S979" s="95"/>
      <c r="T979" s="95"/>
      <c r="U979" s="95"/>
      <c r="V979" s="95"/>
      <c r="W979" s="139"/>
      <c r="X979" s="95"/>
      <c r="Y979" s="95"/>
      <c r="Z979" s="95"/>
      <c r="AA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6"/>
      <c r="J980" s="96"/>
      <c r="K980" s="96"/>
      <c r="L980" s="96"/>
      <c r="M980" s="95"/>
      <c r="N980" s="96"/>
      <c r="O980" s="96"/>
      <c r="P980" s="95"/>
      <c r="Q980" s="95"/>
      <c r="R980" s="95"/>
      <c r="S980" s="95"/>
      <c r="T980" s="95"/>
      <c r="U980" s="95"/>
      <c r="V980" s="95"/>
      <c r="W980" s="139"/>
      <c r="X980" s="95"/>
      <c r="Y980" s="95"/>
      <c r="Z980" s="95"/>
      <c r="AA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6"/>
      <c r="J981" s="96"/>
      <c r="K981" s="96"/>
      <c r="L981" s="96"/>
      <c r="M981" s="95"/>
      <c r="N981" s="96"/>
      <c r="O981" s="96"/>
      <c r="P981" s="95"/>
      <c r="Q981" s="95"/>
      <c r="R981" s="95"/>
      <c r="S981" s="95"/>
      <c r="T981" s="95"/>
      <c r="U981" s="95"/>
      <c r="V981" s="95"/>
      <c r="W981" s="139"/>
      <c r="X981" s="95"/>
      <c r="Y981" s="95"/>
      <c r="Z981" s="95"/>
      <c r="AA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6"/>
      <c r="J982" s="96"/>
      <c r="K982" s="96"/>
      <c r="L982" s="96"/>
      <c r="M982" s="95"/>
      <c r="N982" s="96"/>
      <c r="O982" s="96"/>
      <c r="P982" s="95"/>
      <c r="Q982" s="95"/>
      <c r="R982" s="95"/>
      <c r="S982" s="95"/>
      <c r="T982" s="95"/>
      <c r="U982" s="95"/>
      <c r="V982" s="95"/>
      <c r="W982" s="139"/>
      <c r="X982" s="95"/>
      <c r="Y982" s="95"/>
      <c r="Z982" s="95"/>
      <c r="AA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6"/>
      <c r="J983" s="96"/>
      <c r="K983" s="96"/>
      <c r="L983" s="96"/>
      <c r="M983" s="95"/>
      <c r="N983" s="96"/>
      <c r="O983" s="96"/>
      <c r="P983" s="95"/>
      <c r="Q983" s="95"/>
      <c r="R983" s="95"/>
      <c r="S983" s="95"/>
      <c r="T983" s="95"/>
      <c r="U983" s="95"/>
      <c r="V983" s="95"/>
      <c r="W983" s="139"/>
      <c r="X983" s="95"/>
      <c r="Y983" s="95"/>
      <c r="Z983" s="95"/>
      <c r="AA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6"/>
      <c r="J984" s="96"/>
      <c r="K984" s="96"/>
      <c r="L984" s="96"/>
      <c r="M984" s="95"/>
      <c r="N984" s="96"/>
      <c r="O984" s="96"/>
      <c r="P984" s="95"/>
      <c r="Q984" s="95"/>
      <c r="R984" s="95"/>
      <c r="S984" s="95"/>
      <c r="T984" s="95"/>
      <c r="U984" s="95"/>
      <c r="V984" s="95"/>
      <c r="W984" s="139"/>
      <c r="X984" s="95"/>
      <c r="Y984" s="95"/>
      <c r="Z984" s="95"/>
      <c r="AA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6"/>
      <c r="J985" s="96"/>
      <c r="K985" s="96"/>
      <c r="L985" s="96"/>
      <c r="M985" s="95"/>
      <c r="N985" s="96"/>
      <c r="O985" s="96"/>
      <c r="P985" s="95"/>
      <c r="Q985" s="95"/>
      <c r="R985" s="95"/>
      <c r="S985" s="95"/>
      <c r="T985" s="95"/>
      <c r="U985" s="95"/>
      <c r="V985" s="95"/>
      <c r="W985" s="139"/>
      <c r="X985" s="95"/>
      <c r="Y985" s="95"/>
      <c r="Z985" s="95"/>
      <c r="AA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6"/>
      <c r="J986" s="96"/>
      <c r="K986" s="96"/>
      <c r="L986" s="96"/>
      <c r="M986" s="96"/>
      <c r="N986" s="96"/>
      <c r="O986" s="96"/>
      <c r="P986" s="95"/>
      <c r="Q986" s="95"/>
      <c r="R986" s="95"/>
      <c r="S986" s="95"/>
      <c r="T986" s="95"/>
      <c r="U986" s="95"/>
      <c r="V986" s="95"/>
      <c r="W986" s="139"/>
      <c r="X986" s="95"/>
      <c r="Y986" s="95"/>
      <c r="Z986" s="95"/>
      <c r="AA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6"/>
      <c r="J987" s="96"/>
      <c r="K987" s="96"/>
      <c r="L987" s="96"/>
      <c r="M987" s="96"/>
      <c r="N987" s="96"/>
      <c r="O987" s="96"/>
      <c r="P987" s="95"/>
      <c r="Q987" s="95"/>
      <c r="R987" s="95"/>
      <c r="S987" s="95"/>
      <c r="T987" s="95"/>
      <c r="U987" s="95"/>
      <c r="V987" s="95"/>
      <c r="W987" s="139"/>
      <c r="X987" s="95"/>
      <c r="Y987" s="95"/>
      <c r="Z987" s="95"/>
      <c r="AA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6"/>
      <c r="J988" s="96"/>
      <c r="K988" s="96"/>
      <c r="L988" s="96"/>
      <c r="M988" s="96"/>
      <c r="N988" s="96"/>
      <c r="O988" s="96"/>
      <c r="P988" s="95"/>
      <c r="Q988" s="95"/>
      <c r="R988" s="95"/>
      <c r="S988" s="95"/>
      <c r="T988" s="95"/>
      <c r="U988" s="95"/>
      <c r="V988" s="95"/>
      <c r="W988" s="139"/>
      <c r="X988" s="95"/>
      <c r="Y988" s="95"/>
      <c r="Z988" s="95"/>
      <c r="AA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6"/>
      <c r="J989" s="96"/>
      <c r="K989" s="96"/>
      <c r="L989" s="96"/>
      <c r="M989" s="96"/>
      <c r="N989" s="96"/>
      <c r="O989" s="96"/>
      <c r="P989" s="95"/>
      <c r="Q989" s="95"/>
      <c r="R989" s="95"/>
      <c r="S989" s="95"/>
      <c r="T989" s="95"/>
      <c r="U989" s="95"/>
      <c r="V989" s="95"/>
      <c r="W989" s="139"/>
      <c r="X989" s="95"/>
      <c r="Y989" s="95"/>
      <c r="Z989" s="95"/>
      <c r="AA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6"/>
      <c r="J990" s="96"/>
      <c r="K990" s="96"/>
      <c r="L990" s="96"/>
      <c r="M990" s="96"/>
      <c r="N990" s="96"/>
      <c r="O990" s="96"/>
      <c r="P990" s="95"/>
      <c r="Q990" s="95"/>
      <c r="R990" s="95"/>
      <c r="S990" s="95"/>
      <c r="T990" s="95"/>
      <c r="U990" s="95"/>
      <c r="V990" s="95"/>
      <c r="W990" s="139"/>
      <c r="X990" s="95"/>
      <c r="Y990" s="95"/>
      <c r="Z990" s="95"/>
      <c r="AA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6"/>
      <c r="J991" s="96"/>
      <c r="K991" s="96"/>
      <c r="L991" s="96"/>
      <c r="M991" s="96"/>
      <c r="N991" s="96"/>
      <c r="O991" s="96"/>
      <c r="P991" s="95"/>
      <c r="Q991" s="95"/>
      <c r="R991" s="95"/>
      <c r="S991" s="95"/>
      <c r="T991" s="95"/>
      <c r="U991" s="95"/>
      <c r="V991" s="95"/>
      <c r="W991" s="139"/>
      <c r="X991" s="95"/>
      <c r="Y991" s="95"/>
      <c r="Z991" s="95"/>
      <c r="AA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6"/>
      <c r="J992" s="96"/>
      <c r="K992" s="96"/>
      <c r="L992" s="96"/>
      <c r="M992" s="96"/>
      <c r="N992" s="96"/>
      <c r="O992" s="96"/>
      <c r="P992" s="95"/>
      <c r="Q992" s="95"/>
      <c r="R992" s="95"/>
      <c r="S992" s="95"/>
      <c r="T992" s="95"/>
      <c r="U992" s="95"/>
      <c r="V992" s="95"/>
      <c r="W992" s="139"/>
      <c r="X992" s="95"/>
      <c r="Y992" s="95"/>
      <c r="Z992" s="95"/>
      <c r="AA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6"/>
      <c r="J993" s="96"/>
      <c r="K993" s="96"/>
      <c r="L993" s="96"/>
      <c r="M993" s="96"/>
      <c r="N993" s="96"/>
      <c r="O993" s="96"/>
      <c r="P993" s="95"/>
      <c r="Q993" s="95"/>
      <c r="R993" s="95"/>
      <c r="S993" s="95"/>
      <c r="T993" s="95"/>
      <c r="U993" s="95"/>
      <c r="V993" s="95"/>
      <c r="W993" s="139"/>
      <c r="X993" s="95"/>
      <c r="Y993" s="95"/>
      <c r="Z993" s="95"/>
      <c r="AA993" s="95"/>
    </row>
    <row r="994">
      <c r="A994" s="95"/>
      <c r="B994" s="95"/>
      <c r="C994" s="95"/>
      <c r="D994" s="95"/>
      <c r="E994" s="95"/>
      <c r="F994" s="95"/>
      <c r="G994" s="95"/>
      <c r="H994" s="95"/>
      <c r="I994" s="96"/>
      <c r="J994" s="96"/>
      <c r="K994" s="96"/>
      <c r="L994" s="96"/>
      <c r="M994" s="96"/>
      <c r="N994" s="96"/>
      <c r="O994" s="96"/>
      <c r="P994" s="95"/>
      <c r="Q994" s="95"/>
      <c r="R994" s="95"/>
      <c r="S994" s="95"/>
      <c r="T994" s="95"/>
      <c r="U994" s="95"/>
      <c r="V994" s="95"/>
      <c r="W994" s="139"/>
      <c r="X994" s="95"/>
      <c r="Y994" s="95"/>
      <c r="Z994" s="95"/>
      <c r="AA994" s="95"/>
    </row>
    <row r="995">
      <c r="A995" s="95"/>
      <c r="B995" s="95"/>
      <c r="C995" s="95"/>
      <c r="D995" s="95"/>
      <c r="E995" s="95"/>
      <c r="F995" s="95"/>
      <c r="G995" s="95"/>
      <c r="H995" s="95"/>
      <c r="I995" s="96"/>
      <c r="J995" s="96"/>
      <c r="K995" s="96"/>
      <c r="L995" s="96"/>
      <c r="M995" s="96"/>
      <c r="N995" s="96"/>
      <c r="O995" s="96"/>
      <c r="P995" s="95"/>
      <c r="Q995" s="95"/>
      <c r="R995" s="95"/>
      <c r="S995" s="95"/>
      <c r="T995" s="95"/>
      <c r="U995" s="95"/>
      <c r="V995" s="95"/>
      <c r="W995" s="139"/>
      <c r="X995" s="95"/>
      <c r="Y995" s="95"/>
      <c r="Z995" s="95"/>
      <c r="AA995" s="95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37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11">
      <formula1>"Sales &amp; Marketing,General &amp; Admin,R&amp;D,Salaries &amp; Benefits,Other expenses"</formula1>
    </dataValidation>
    <dataValidation type="list" allowBlank="1" showErrorMessage="1" sqref="Q6:Q25 Q29:Q40">
      <formula1>"Australia,Germany,Singapore,United States,United Kingdom,China,South Korea,Japan,Hong Kong,Vietnam,Malaysia,India,Europe"</formula1>
    </dataValidation>
    <dataValidation type="list" allowBlank="1" showErrorMessage="1" sqref="Q26:Q28 Q41">
      <formula1>"Australia,Germany,Singapore,United States,United Kingdom/Europe,China,South Korea,Japan,Hong Kong,Vietnam,Malaysia,India"</formula1>
    </dataValidation>
    <dataValidation type="list" allowBlank="1" showErrorMessage="1" sqref="C6:C14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7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26 R28 R41">
      <formula1>"Business Space, Life Sciences,Industrial,Logistics,Data Centers,Retail,Office,Hi-Tech Buildings,Flatted Factories,Stack-up Buildings"</formula1>
    </dataValidation>
    <dataValidation type="list" allowBlank="1" showErrorMessage="1" sqref="R6:R25 R29:R36">
      <formula1>"Business Space, Life Sciences,Industrial,Logistics,Data Centers,Retail,Office,Hi-Tech Buildings,Flatted Factories,Stack-up Buildings,Commercial"</formula1>
    </dataValidation>
  </dataValidations>
  <hyperlinks>
    <hyperlink r:id="rId1" ref="B1"/>
    <hyperlink r:id="rId2" ref="B2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0.88"/>
    <col customWidth="1" min="18" max="18" width="18.88"/>
    <col customWidth="1" min="19" max="19" width="26.5"/>
    <col customWidth="1" min="20" max="20" width="38.13"/>
    <col customWidth="1" min="21" max="26" width="26.5"/>
  </cols>
  <sheetData>
    <row r="1">
      <c r="A1" s="1" t="s">
        <v>0</v>
      </c>
      <c r="B1" s="2" t="s">
        <v>400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79"/>
      <c r="W1" s="1"/>
      <c r="X1" s="1"/>
      <c r="Y1" s="1"/>
      <c r="Z1" s="1"/>
    </row>
    <row r="2">
      <c r="A2" s="1" t="s">
        <v>2</v>
      </c>
      <c r="B2" s="5" t="s">
        <v>401</v>
      </c>
      <c r="C2" s="1"/>
      <c r="D2" s="6" t="s">
        <v>4</v>
      </c>
      <c r="E2" s="7">
        <v>45657.0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79"/>
      <c r="W2" s="1"/>
      <c r="X2" s="9"/>
      <c r="Y2" s="9"/>
      <c r="Z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79"/>
      <c r="W3" s="1"/>
      <c r="X3" s="9"/>
      <c r="Y3" s="9"/>
      <c r="Z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76"/>
      <c r="R4" s="176"/>
      <c r="S4" s="58" t="s">
        <v>114</v>
      </c>
      <c r="T4" s="15"/>
      <c r="U4" s="15"/>
      <c r="V4" s="16"/>
      <c r="W4" s="1"/>
      <c r="X4" s="8" t="s">
        <v>10</v>
      </c>
      <c r="Y4" s="1"/>
      <c r="Z4" s="9"/>
    </row>
    <row r="5">
      <c r="A5" s="17" t="s">
        <v>11</v>
      </c>
      <c r="B5" s="18">
        <v>6.891062E9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6.619097E9</v>
      </c>
      <c r="P5" s="1"/>
      <c r="Q5" s="177" t="s">
        <v>18</v>
      </c>
      <c r="R5" s="177" t="s">
        <v>19</v>
      </c>
      <c r="S5" s="59"/>
      <c r="T5" s="60" t="s">
        <v>22</v>
      </c>
      <c r="U5" s="59" t="s">
        <v>23</v>
      </c>
      <c r="V5" s="178" t="s">
        <v>402</v>
      </c>
      <c r="W5" s="1"/>
      <c r="X5" s="17" t="s">
        <v>25</v>
      </c>
      <c r="Y5" s="28"/>
      <c r="Z5" s="9"/>
    </row>
    <row r="6">
      <c r="A6" s="17" t="s">
        <v>26</v>
      </c>
      <c r="B6" s="18">
        <v>-4.736536E9</v>
      </c>
      <c r="C6" s="19" t="s">
        <v>27</v>
      </c>
      <c r="D6" s="32" t="s">
        <v>403</v>
      </c>
      <c r="E6" s="31">
        <v>3.698403E9</v>
      </c>
      <c r="F6" s="30" t="s">
        <v>404</v>
      </c>
      <c r="G6" s="31" t="s">
        <v>405</v>
      </c>
      <c r="H6" s="18">
        <v>-7.12104E8</v>
      </c>
      <c r="I6" s="8"/>
      <c r="J6" s="32"/>
      <c r="K6" s="32"/>
      <c r="L6" s="34"/>
      <c r="M6" s="1"/>
      <c r="N6" s="22" t="s">
        <v>33</v>
      </c>
      <c r="O6" s="23">
        <v>2.1039257E10</v>
      </c>
      <c r="P6" s="1"/>
      <c r="Q6" s="8"/>
      <c r="R6" s="8"/>
      <c r="S6" s="28" t="s">
        <v>406</v>
      </c>
      <c r="T6" s="62">
        <v>2619000.0</v>
      </c>
      <c r="U6" s="28"/>
      <c r="V6" s="85"/>
      <c r="W6" s="1"/>
      <c r="X6" s="17" t="s">
        <v>37</v>
      </c>
      <c r="Y6" s="28"/>
      <c r="Z6" s="9"/>
    </row>
    <row r="7">
      <c r="A7" s="17" t="s">
        <v>38</v>
      </c>
      <c r="B7" s="40">
        <f>sum(B5:B6)</f>
        <v>2154526000</v>
      </c>
      <c r="C7" s="19" t="s">
        <v>27</v>
      </c>
      <c r="D7" s="31" t="s">
        <v>407</v>
      </c>
      <c r="E7" s="31">
        <v>7.82505E8</v>
      </c>
      <c r="F7" s="30" t="s">
        <v>29</v>
      </c>
      <c r="G7" s="31" t="s">
        <v>408</v>
      </c>
      <c r="H7" s="31">
        <v>-2.07516E8</v>
      </c>
      <c r="I7" s="1"/>
      <c r="J7" s="32"/>
      <c r="K7" s="32"/>
      <c r="L7" s="41"/>
      <c r="M7" s="1"/>
      <c r="N7" s="42" t="s">
        <v>43</v>
      </c>
      <c r="O7" s="43">
        <f>sum(O5:O6)</f>
        <v>27658354000</v>
      </c>
      <c r="P7" s="1"/>
      <c r="Q7" s="8"/>
      <c r="R7" s="8"/>
      <c r="S7" s="28" t="s">
        <v>409</v>
      </c>
      <c r="T7" s="62">
        <f>45168000-2619000</f>
        <v>42549000</v>
      </c>
      <c r="U7" s="28"/>
      <c r="V7" s="85"/>
      <c r="W7" s="1"/>
      <c r="X7" s="17" t="s">
        <v>46</v>
      </c>
      <c r="Y7" s="28"/>
      <c r="Z7" s="9"/>
    </row>
    <row r="8">
      <c r="A8" s="17" t="s">
        <v>47</v>
      </c>
      <c r="B8" s="18">
        <v>-9.1962E8</v>
      </c>
      <c r="C8" s="19" t="s">
        <v>27</v>
      </c>
      <c r="D8" s="31" t="s">
        <v>410</v>
      </c>
      <c r="E8" s="31">
        <v>4.27826E8</v>
      </c>
      <c r="F8" s="30"/>
      <c r="G8" s="31"/>
      <c r="H8" s="31"/>
      <c r="I8" s="1"/>
      <c r="J8" s="45"/>
      <c r="K8" s="32"/>
      <c r="L8" s="34"/>
      <c r="M8" s="1"/>
      <c r="N8" s="42" t="s">
        <v>51</v>
      </c>
      <c r="O8" s="23">
        <v>4.771044E9</v>
      </c>
      <c r="P8" s="1"/>
      <c r="Q8" s="8"/>
      <c r="R8" s="8"/>
      <c r="S8" s="28" t="s">
        <v>411</v>
      </c>
      <c r="T8" s="62">
        <v>4.12472E8</v>
      </c>
      <c r="U8" s="28"/>
      <c r="V8" s="85"/>
      <c r="W8" s="1"/>
      <c r="X8" s="17" t="s">
        <v>53</v>
      </c>
      <c r="Y8" s="43">
        <f>SUM(Y5:Y7)</f>
        <v>0</v>
      </c>
      <c r="Z8" s="9"/>
    </row>
    <row r="9">
      <c r="A9" s="17" t="s">
        <v>54</v>
      </c>
      <c r="B9" s="40">
        <f>sum(B7:B8)</f>
        <v>1234906000</v>
      </c>
      <c r="C9" s="19" t="s">
        <v>27</v>
      </c>
      <c r="D9" s="31" t="s">
        <v>412</v>
      </c>
      <c r="E9" s="31">
        <v>6.2198E8</v>
      </c>
      <c r="F9" s="19"/>
      <c r="G9" s="31"/>
      <c r="H9" s="31"/>
      <c r="I9" s="1"/>
      <c r="J9" s="45"/>
      <c r="K9" s="32"/>
      <c r="L9" s="34"/>
      <c r="M9" s="1"/>
      <c r="N9" s="42" t="s">
        <v>58</v>
      </c>
      <c r="O9" s="23">
        <v>1.1461649E10</v>
      </c>
      <c r="P9" s="1"/>
      <c r="Q9" s="8"/>
      <c r="R9" s="8"/>
      <c r="S9" s="28" t="s">
        <v>413</v>
      </c>
      <c r="T9" s="62">
        <v>2.19726E8</v>
      </c>
      <c r="U9" s="28"/>
      <c r="V9" s="85"/>
      <c r="W9" s="1"/>
      <c r="X9" s="9"/>
      <c r="Y9" s="9"/>
      <c r="Z9" s="9"/>
    </row>
    <row r="10">
      <c r="A10" s="17" t="s">
        <v>60</v>
      </c>
      <c r="B10" s="18">
        <v>-1.6588E7</v>
      </c>
      <c r="C10" s="19" t="s">
        <v>27</v>
      </c>
      <c r="D10" s="31" t="s">
        <v>414</v>
      </c>
      <c r="E10" s="31">
        <v>3.83921E8</v>
      </c>
      <c r="F10" s="48"/>
      <c r="G10" s="49"/>
      <c r="H10" s="31"/>
      <c r="I10" s="1"/>
      <c r="J10" s="33"/>
      <c r="K10" s="32"/>
      <c r="L10" s="34"/>
      <c r="M10" s="1"/>
      <c r="N10" s="42" t="s">
        <v>64</v>
      </c>
      <c r="O10" s="43">
        <f>sum(O8:O9)</f>
        <v>16232693000</v>
      </c>
      <c r="P10" s="1"/>
      <c r="Q10" s="8"/>
      <c r="R10" s="8"/>
      <c r="S10" s="28" t="s">
        <v>415</v>
      </c>
      <c r="T10" s="62">
        <v>1.022901E9</v>
      </c>
      <c r="U10" s="28"/>
      <c r="V10" s="85"/>
      <c r="W10" s="1"/>
      <c r="X10" s="9"/>
      <c r="Y10" s="9"/>
      <c r="Z10" s="9"/>
    </row>
    <row r="11">
      <c r="A11" s="17" t="s">
        <v>67</v>
      </c>
      <c r="B11" s="40">
        <f>sum(B9:B10)</f>
        <v>1218318000</v>
      </c>
      <c r="C11" s="19" t="s">
        <v>27</v>
      </c>
      <c r="D11" s="31" t="s">
        <v>416</v>
      </c>
      <c r="E11" s="31">
        <v>3.44717E8</v>
      </c>
      <c r="F11" s="19"/>
      <c r="G11" s="31"/>
      <c r="H11" s="31"/>
      <c r="I11" s="1"/>
      <c r="J11" s="32"/>
      <c r="K11" s="32"/>
      <c r="L11" s="41"/>
      <c r="M11" s="9"/>
      <c r="N11" s="42" t="s">
        <v>70</v>
      </c>
      <c r="O11" s="43">
        <f>O7-O10</f>
        <v>11425661000</v>
      </c>
      <c r="P11" s="9"/>
      <c r="Q11" s="8"/>
      <c r="R11" s="8"/>
      <c r="S11" s="28"/>
      <c r="T11" s="62"/>
      <c r="U11" s="28"/>
      <c r="V11" s="85"/>
      <c r="W11" s="1"/>
      <c r="X11" s="9"/>
      <c r="Y11" s="9"/>
      <c r="Z11" s="9"/>
    </row>
    <row r="12">
      <c r="A12" s="17" t="s">
        <v>72</v>
      </c>
      <c r="B12" s="50">
        <v>-2.44104E8</v>
      </c>
      <c r="C12" s="19" t="s">
        <v>27</v>
      </c>
      <c r="D12" s="31" t="s">
        <v>417</v>
      </c>
      <c r="E12" s="31">
        <v>2.26318E8</v>
      </c>
      <c r="F12" s="48"/>
      <c r="G12" s="49"/>
      <c r="H12" s="31"/>
      <c r="I12" s="1"/>
      <c r="J12" s="32"/>
      <c r="K12" s="32"/>
      <c r="L12" s="41"/>
      <c r="M12" s="9"/>
      <c r="N12" s="9"/>
      <c r="O12" s="9"/>
      <c r="P12" s="9"/>
      <c r="Q12" s="8"/>
      <c r="R12" s="8"/>
      <c r="S12" s="28"/>
      <c r="T12" s="62"/>
      <c r="U12" s="28"/>
      <c r="V12" s="85"/>
      <c r="W12" s="1"/>
      <c r="X12" s="9"/>
      <c r="Y12" s="9"/>
      <c r="Z12" s="9"/>
    </row>
    <row r="13">
      <c r="A13" s="17" t="s">
        <v>76</v>
      </c>
      <c r="B13" s="40">
        <f>SUM(B11:B12)</f>
        <v>974214000</v>
      </c>
      <c r="C13" s="19" t="s">
        <v>27</v>
      </c>
      <c r="D13" s="31" t="s">
        <v>418</v>
      </c>
      <c r="E13" s="31">
        <v>1.15488E8</v>
      </c>
      <c r="F13" s="19"/>
      <c r="G13" s="47"/>
      <c r="H13" s="47"/>
      <c r="I13" s="1"/>
      <c r="J13" s="32"/>
      <c r="K13" s="32"/>
      <c r="L13" s="41"/>
      <c r="M13" s="9"/>
      <c r="N13" s="42" t="s">
        <v>79</v>
      </c>
      <c r="O13" s="51">
        <f>O5-O8</f>
        <v>1848053000</v>
      </c>
      <c r="P13" s="9"/>
      <c r="Q13" s="8"/>
      <c r="R13" s="8"/>
      <c r="S13" s="28"/>
      <c r="T13" s="68"/>
      <c r="U13" s="28"/>
      <c r="V13" s="85"/>
      <c r="W13" s="1"/>
      <c r="X13" s="9"/>
      <c r="Y13" s="9"/>
      <c r="Z13" s="9"/>
    </row>
    <row r="14">
      <c r="A14" s="17" t="s">
        <v>81</v>
      </c>
      <c r="B14" s="50">
        <v>-2.2494E7</v>
      </c>
      <c r="C14" s="30" t="s">
        <v>48</v>
      </c>
      <c r="D14" s="32" t="s">
        <v>46</v>
      </c>
      <c r="E14" s="18">
        <v>2.89904E8</v>
      </c>
      <c r="F14" s="19"/>
      <c r="G14" s="47"/>
      <c r="H14" s="47"/>
      <c r="I14" s="1"/>
      <c r="J14" s="32"/>
      <c r="K14" s="32"/>
      <c r="L14" s="41"/>
      <c r="M14" s="9"/>
      <c r="P14" s="9"/>
      <c r="Q14" s="8"/>
      <c r="R14" s="8"/>
      <c r="S14" s="28"/>
      <c r="T14" s="62"/>
      <c r="U14" s="28"/>
      <c r="V14" s="85"/>
      <c r="W14" s="1"/>
      <c r="X14" s="9"/>
      <c r="Y14" s="9"/>
      <c r="Z14" s="9"/>
    </row>
    <row r="15">
      <c r="A15" s="42" t="s">
        <v>85</v>
      </c>
      <c r="B15" s="50">
        <v>-1.1568E7</v>
      </c>
      <c r="C15" s="19"/>
      <c r="D15" s="31"/>
      <c r="E15" s="31"/>
      <c r="F15" s="19"/>
      <c r="G15" s="47"/>
      <c r="H15" s="47"/>
      <c r="I15" s="1"/>
      <c r="J15" s="32"/>
      <c r="K15" s="32"/>
      <c r="L15" s="41"/>
      <c r="M15" s="1"/>
      <c r="N15" s="8" t="s">
        <v>87</v>
      </c>
      <c r="O15" s="9"/>
      <c r="P15" s="1"/>
      <c r="Q15" s="8"/>
      <c r="R15" s="8"/>
      <c r="S15" s="28"/>
      <c r="T15" s="68"/>
      <c r="U15" s="28"/>
      <c r="V15" s="85"/>
      <c r="W15" s="1"/>
      <c r="X15" s="9"/>
      <c r="Y15" s="9"/>
      <c r="Z15" s="9"/>
    </row>
    <row r="16">
      <c r="A16" s="42" t="s">
        <v>89</v>
      </c>
      <c r="B16" s="40">
        <f>SUM(B13:B15)</f>
        <v>940152000</v>
      </c>
      <c r="C16" s="19"/>
      <c r="D16" s="31"/>
      <c r="E16" s="31"/>
      <c r="F16" s="19"/>
      <c r="G16" s="47"/>
      <c r="H16" s="47"/>
      <c r="I16" s="1"/>
      <c r="J16" s="53" t="s">
        <v>90</v>
      </c>
      <c r="K16" s="53"/>
      <c r="L16" s="54">
        <f>SUM(L6:L15)</f>
        <v>0</v>
      </c>
      <c r="M16" s="1"/>
      <c r="N16" s="42" t="s">
        <v>91</v>
      </c>
      <c r="O16" s="23">
        <v>2.00343E8</v>
      </c>
      <c r="P16" s="1"/>
      <c r="Q16" s="8"/>
      <c r="R16" s="8"/>
      <c r="S16" s="28"/>
      <c r="T16" s="62"/>
      <c r="U16" s="28"/>
      <c r="V16" s="85"/>
      <c r="W16" s="1"/>
      <c r="X16" s="9"/>
      <c r="Y16" s="9"/>
      <c r="Z16" s="9"/>
    </row>
    <row r="17">
      <c r="A17" s="17" t="s">
        <v>93</v>
      </c>
      <c r="B17" s="81">
        <v>-4.09388E8</v>
      </c>
      <c r="C17" s="19"/>
      <c r="D17" s="32"/>
      <c r="E17" s="18"/>
      <c r="F17" s="19"/>
      <c r="G17" s="47"/>
      <c r="H17" s="47"/>
      <c r="I17" s="1"/>
      <c r="J17" s="1"/>
      <c r="K17" s="1"/>
      <c r="L17" s="1"/>
      <c r="M17" s="9"/>
      <c r="N17" s="42" t="s">
        <v>94</v>
      </c>
      <c r="O17" s="55">
        <v>7.00934E8</v>
      </c>
      <c r="P17" s="1"/>
      <c r="Q17" s="8"/>
      <c r="R17" s="8"/>
      <c r="S17" s="28"/>
      <c r="T17" s="62"/>
      <c r="U17" s="28"/>
      <c r="V17" s="85"/>
      <c r="W17" s="1"/>
      <c r="X17" s="9"/>
      <c r="Y17" s="9"/>
      <c r="Z17" s="9"/>
    </row>
    <row r="18">
      <c r="A18" s="17" t="s">
        <v>96</v>
      </c>
      <c r="B18" s="43">
        <f>B11-B17</f>
        <v>1627706000</v>
      </c>
      <c r="C18" s="19"/>
      <c r="D18" s="47"/>
      <c r="E18" s="47"/>
      <c r="F18" s="19"/>
      <c r="G18" s="47"/>
      <c r="H18" s="47"/>
      <c r="I18" s="1"/>
      <c r="J18" s="14" t="s">
        <v>97</v>
      </c>
      <c r="K18" s="15"/>
      <c r="L18" s="16"/>
      <c r="M18" s="1"/>
      <c r="N18" s="42" t="s">
        <v>98</v>
      </c>
      <c r="O18" s="55">
        <v>1.36604E8</v>
      </c>
      <c r="P18" s="1"/>
      <c r="Q18" s="8"/>
      <c r="R18" s="8"/>
      <c r="S18" s="28"/>
      <c r="T18" s="62"/>
      <c r="U18" s="28"/>
      <c r="V18" s="85"/>
      <c r="W18" s="1"/>
      <c r="X18" s="9"/>
      <c r="Y18" s="9"/>
      <c r="Z18" s="9"/>
    </row>
    <row r="19">
      <c r="A19" s="17" t="s">
        <v>100</v>
      </c>
      <c r="B19" s="81">
        <f>-207516000+342344000</f>
        <v>134828000</v>
      </c>
      <c r="C19" s="19"/>
      <c r="D19" s="47"/>
      <c r="E19" s="47"/>
      <c r="F19" s="19"/>
      <c r="G19" s="47"/>
      <c r="H19" s="47"/>
      <c r="I19" s="1"/>
      <c r="J19" s="32" t="s">
        <v>419</v>
      </c>
      <c r="K19" s="32"/>
      <c r="L19" s="34">
        <v>4.615639E9</v>
      </c>
      <c r="M19" s="1"/>
      <c r="N19" s="42" t="s">
        <v>101</v>
      </c>
      <c r="O19" s="43">
        <f>sum(O16:O18)</f>
        <v>1037881000</v>
      </c>
      <c r="P19" s="1"/>
      <c r="Q19" s="8"/>
      <c r="R19" s="8"/>
      <c r="S19" s="28"/>
      <c r="T19" s="62"/>
      <c r="U19" s="28"/>
      <c r="V19" s="85"/>
      <c r="W19" s="1"/>
      <c r="X19" s="9"/>
      <c r="Y19" s="9"/>
      <c r="Z19" s="9"/>
    </row>
    <row r="20">
      <c r="A20" s="17" t="s">
        <v>103</v>
      </c>
      <c r="B20" s="136">
        <f>sum(B18:B19)</f>
        <v>1762534000</v>
      </c>
      <c r="C20" s="30"/>
      <c r="D20" s="47"/>
      <c r="E20" s="47"/>
      <c r="F20" s="19"/>
      <c r="G20" s="47"/>
      <c r="H20" s="47"/>
      <c r="I20" s="1"/>
      <c r="J20" s="32" t="s">
        <v>420</v>
      </c>
      <c r="K20" s="32"/>
      <c r="L20" s="41">
        <v>6.36178E8</v>
      </c>
      <c r="M20" s="1"/>
      <c r="N20" s="57"/>
      <c r="O20" s="9"/>
      <c r="P20" s="1"/>
      <c r="Q20" s="8"/>
      <c r="R20" s="8"/>
      <c r="S20" s="28"/>
      <c r="T20" s="62"/>
      <c r="U20" s="28"/>
      <c r="V20" s="85"/>
      <c r="W20" s="1"/>
      <c r="X20" s="9"/>
      <c r="Y20" s="9"/>
      <c r="Z20" s="9"/>
    </row>
    <row r="21">
      <c r="A21" s="42" t="s">
        <v>105</v>
      </c>
      <c r="B21" s="28">
        <v>7799000.0</v>
      </c>
      <c r="C21" s="19"/>
      <c r="D21" s="47"/>
      <c r="E21" s="47"/>
      <c r="F21" s="19"/>
      <c r="G21" s="47"/>
      <c r="H21" s="47"/>
      <c r="I21" s="1"/>
      <c r="J21" s="45" t="s">
        <v>421</v>
      </c>
      <c r="K21" s="32"/>
      <c r="L21" s="34">
        <v>1.34737E9</v>
      </c>
      <c r="M21" s="1"/>
      <c r="P21" s="1"/>
      <c r="Q21" s="8"/>
      <c r="R21" s="8"/>
      <c r="S21" s="28"/>
      <c r="T21" s="62"/>
      <c r="U21" s="28"/>
      <c r="V21" s="85"/>
      <c r="W21" s="1"/>
      <c r="X21" s="9"/>
      <c r="Y21" s="9"/>
      <c r="Z21" s="9"/>
    </row>
    <row r="22">
      <c r="A22" s="42" t="s">
        <v>107</v>
      </c>
      <c r="B22" s="137">
        <f>B13-B19-B21</f>
        <v>831587000</v>
      </c>
      <c r="C22" s="19"/>
      <c r="D22" s="47"/>
      <c r="E22" s="47"/>
      <c r="F22" s="19"/>
      <c r="G22" s="47"/>
      <c r="H22" s="47"/>
      <c r="I22" s="1"/>
      <c r="J22" s="45" t="s">
        <v>422</v>
      </c>
      <c r="K22" s="32"/>
      <c r="L22" s="34">
        <v>1971000.0</v>
      </c>
      <c r="M22" s="1"/>
      <c r="Q22" s="8"/>
      <c r="R22" s="8"/>
      <c r="S22" s="28"/>
      <c r="T22" s="62"/>
      <c r="U22" s="28"/>
      <c r="V22" s="85"/>
      <c r="W22" s="1"/>
      <c r="X22" s="9"/>
      <c r="Y22" s="9"/>
      <c r="Z22" s="9"/>
    </row>
    <row r="23">
      <c r="A23" s="9"/>
      <c r="B23" s="9"/>
      <c r="C23" s="19"/>
      <c r="D23" s="47"/>
      <c r="E23" s="47"/>
      <c r="F23" s="19"/>
      <c r="G23" s="47"/>
      <c r="H23" s="47"/>
      <c r="I23" s="1"/>
      <c r="J23" s="45"/>
      <c r="K23" s="32"/>
      <c r="L23" s="34"/>
      <c r="M23" s="1"/>
      <c r="Q23" s="8"/>
      <c r="R23" s="8"/>
      <c r="S23" s="28"/>
      <c r="T23" s="68"/>
      <c r="U23" s="28"/>
      <c r="V23" s="85"/>
      <c r="W23" s="1"/>
      <c r="X23" s="9"/>
      <c r="Y23" s="9"/>
      <c r="Z23" s="9"/>
    </row>
    <row r="24">
      <c r="A24" s="9"/>
      <c r="B24" s="9"/>
      <c r="C24" s="19"/>
      <c r="D24" s="47"/>
      <c r="E24" s="47"/>
      <c r="F24" s="19"/>
      <c r="G24" s="47"/>
      <c r="H24" s="47"/>
      <c r="I24" s="1"/>
      <c r="J24" s="32"/>
      <c r="K24" s="44"/>
      <c r="L24" s="41"/>
      <c r="M24" s="1"/>
      <c r="Q24" s="8"/>
      <c r="R24" s="8"/>
      <c r="S24" s="28"/>
      <c r="T24" s="68"/>
      <c r="U24" s="28"/>
      <c r="V24" s="85"/>
      <c r="W24" s="1"/>
      <c r="X24" s="9"/>
      <c r="Y24" s="9"/>
      <c r="Z24" s="9"/>
    </row>
    <row r="25">
      <c r="A25" s="9"/>
      <c r="B25" s="9"/>
      <c r="C25" s="19"/>
      <c r="D25" s="47"/>
      <c r="E25" s="47"/>
      <c r="F25" s="19"/>
      <c r="G25" s="47"/>
      <c r="H25" s="47"/>
      <c r="I25" s="1"/>
      <c r="J25" s="32"/>
      <c r="K25" s="44"/>
      <c r="L25" s="41"/>
      <c r="M25" s="1"/>
      <c r="Q25" s="8"/>
      <c r="R25" s="8"/>
      <c r="S25" s="28"/>
      <c r="T25" s="62"/>
      <c r="U25" s="28"/>
      <c r="V25" s="85"/>
      <c r="W25" s="1"/>
      <c r="X25" s="9"/>
      <c r="Y25" s="9"/>
      <c r="Z25" s="9"/>
    </row>
    <row r="26">
      <c r="A26" s="1"/>
      <c r="B26" s="57"/>
      <c r="C26" s="19"/>
      <c r="D26" s="47"/>
      <c r="E26" s="47"/>
      <c r="F26" s="19"/>
      <c r="G26" s="47"/>
      <c r="H26" s="47"/>
      <c r="I26" s="1"/>
      <c r="J26" s="32"/>
      <c r="K26" s="44"/>
      <c r="L26" s="41"/>
      <c r="M26" s="1"/>
      <c r="N26" s="9"/>
      <c r="O26" s="9"/>
      <c r="Q26" s="8"/>
      <c r="R26" s="8"/>
      <c r="S26" s="28"/>
      <c r="T26" s="62"/>
      <c r="U26" s="28"/>
      <c r="V26" s="85"/>
      <c r="W26" s="1"/>
      <c r="X26" s="9"/>
      <c r="Y26" s="9"/>
      <c r="Z26" s="9"/>
    </row>
    <row r="27">
      <c r="A27" s="1"/>
      <c r="B27" s="57"/>
      <c r="C27" s="19"/>
      <c r="D27" s="47"/>
      <c r="E27" s="47"/>
      <c r="F27" s="19"/>
      <c r="G27" s="47"/>
      <c r="H27" s="47"/>
      <c r="I27" s="1"/>
      <c r="J27" s="32"/>
      <c r="K27" s="44"/>
      <c r="L27" s="41"/>
      <c r="M27" s="1"/>
      <c r="N27" s="9"/>
      <c r="O27" s="9"/>
      <c r="P27" s="1"/>
      <c r="Q27" s="8"/>
      <c r="R27" s="8"/>
      <c r="S27" s="28"/>
      <c r="T27" s="62"/>
      <c r="U27" s="28"/>
      <c r="V27" s="85"/>
      <c r="W27" s="1"/>
      <c r="X27" s="9"/>
      <c r="Y27" s="9"/>
      <c r="Z27" s="9"/>
    </row>
    <row r="28">
      <c r="A28" s="1"/>
      <c r="B28" s="57"/>
      <c r="C28" s="19"/>
      <c r="D28" s="47"/>
      <c r="E28" s="47"/>
      <c r="F28" s="19"/>
      <c r="G28" s="47"/>
      <c r="H28" s="47"/>
      <c r="I28" s="1"/>
      <c r="J28" s="32"/>
      <c r="K28" s="44"/>
      <c r="L28" s="41"/>
      <c r="M28" s="57"/>
      <c r="N28" s="9"/>
      <c r="O28" s="9"/>
      <c r="P28" s="57"/>
      <c r="Q28" s="8"/>
      <c r="R28" s="8"/>
      <c r="S28" s="28"/>
      <c r="T28" s="62"/>
      <c r="U28" s="28"/>
      <c r="V28" s="85"/>
      <c r="W28" s="1"/>
      <c r="X28" s="9"/>
      <c r="Y28" s="9"/>
      <c r="Z28" s="9"/>
    </row>
    <row r="29">
      <c r="A29" s="1"/>
      <c r="B29" s="1"/>
      <c r="C29" s="19"/>
      <c r="D29" s="47"/>
      <c r="E29" s="47"/>
      <c r="F29" s="19"/>
      <c r="G29" s="47"/>
      <c r="H29" s="47"/>
      <c r="I29" s="1"/>
      <c r="J29" s="53" t="s">
        <v>90</v>
      </c>
      <c r="K29" s="53"/>
      <c r="L29" s="54">
        <f>SUM(L19:L28)</f>
        <v>6601158000</v>
      </c>
      <c r="M29" s="57"/>
      <c r="N29" s="9"/>
      <c r="O29" s="9"/>
      <c r="P29" s="57"/>
      <c r="Q29" s="8"/>
      <c r="R29" s="8"/>
      <c r="S29" s="28"/>
      <c r="T29" s="62"/>
      <c r="U29" s="28"/>
      <c r="V29" s="85"/>
      <c r="W29" s="1"/>
      <c r="X29" s="9"/>
      <c r="Y29" s="9"/>
      <c r="Z29" s="9"/>
    </row>
    <row r="30">
      <c r="A30" s="1"/>
      <c r="B30" s="1"/>
      <c r="C30" s="19"/>
      <c r="D30" s="19" t="s">
        <v>90</v>
      </c>
      <c r="E30" s="64">
        <f>SUM(E6:E29)</f>
        <v>6891062000</v>
      </c>
      <c r="F30" s="19"/>
      <c r="G30" s="19" t="s">
        <v>90</v>
      </c>
      <c r="H30" s="64">
        <f>SUM(H6:H29)</f>
        <v>-919620000</v>
      </c>
      <c r="I30" s="1"/>
      <c r="J30" s="1"/>
      <c r="K30" s="1"/>
      <c r="L30" s="1"/>
      <c r="M30" s="57"/>
      <c r="N30" s="9"/>
      <c r="O30" s="9"/>
      <c r="P30" s="57"/>
      <c r="Q30" s="8"/>
      <c r="R30" s="8"/>
      <c r="S30" s="28"/>
      <c r="T30" s="62"/>
      <c r="U30" s="28"/>
      <c r="V30" s="85"/>
      <c r="W30" s="1"/>
      <c r="X30" s="9"/>
      <c r="Y30" s="9"/>
      <c r="Z30" s="9"/>
    </row>
    <row r="31">
      <c r="A31" s="1"/>
      <c r="B31" s="1"/>
      <c r="C31" s="19"/>
      <c r="D31" s="65" t="s">
        <v>116</v>
      </c>
      <c r="E31" s="66" t="str">
        <f>IF(B5=E30, "True", "False")</f>
        <v>True</v>
      </c>
      <c r="F31" s="19"/>
      <c r="G31" s="65" t="s">
        <v>116</v>
      </c>
      <c r="H31" s="66" t="str">
        <f>IF(B8=H30, "True", "False")</f>
        <v>True</v>
      </c>
      <c r="I31" s="1"/>
      <c r="J31" s="1"/>
      <c r="K31" s="1"/>
      <c r="L31" s="1"/>
      <c r="M31" s="57"/>
      <c r="N31" s="9"/>
      <c r="O31" s="9"/>
      <c r="P31" s="57"/>
      <c r="Q31" s="8"/>
      <c r="R31" s="8"/>
      <c r="S31" s="28"/>
      <c r="T31" s="62"/>
      <c r="U31" s="28"/>
      <c r="V31" s="85"/>
      <c r="W31" s="1"/>
      <c r="X31" s="9"/>
      <c r="Y31" s="9"/>
      <c r="Z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7"/>
      <c r="N32" s="9"/>
      <c r="O32" s="9"/>
      <c r="P32" s="9"/>
      <c r="Q32" s="8"/>
      <c r="R32" s="8"/>
      <c r="S32" s="28"/>
      <c r="T32" s="62"/>
      <c r="U32" s="28"/>
      <c r="V32" s="85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8"/>
      <c r="R33" s="8"/>
      <c r="S33" s="28"/>
      <c r="T33" s="68"/>
      <c r="U33" s="28"/>
      <c r="V33" s="85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8"/>
      <c r="R34" s="8"/>
      <c r="S34" s="28"/>
      <c r="T34" s="68"/>
      <c r="U34" s="28"/>
      <c r="V34" s="85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8"/>
      <c r="R35" s="8"/>
      <c r="S35" s="28"/>
      <c r="T35" s="62"/>
      <c r="U35" s="28"/>
      <c r="V35" s="85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67"/>
      <c r="P36" s="9"/>
      <c r="Q36" s="8"/>
      <c r="R36" s="8"/>
      <c r="S36" s="28"/>
      <c r="T36" s="62"/>
      <c r="U36" s="28"/>
      <c r="V36" s="85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 t="s">
        <v>119</v>
      </c>
      <c r="O37" s="42"/>
      <c r="P37" s="1"/>
      <c r="Q37" s="8"/>
      <c r="R37" s="8"/>
      <c r="S37" s="28"/>
      <c r="T37" s="68"/>
      <c r="U37" s="28"/>
      <c r="V37" s="85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 t="s">
        <v>120</v>
      </c>
      <c r="O38" s="42"/>
      <c r="P38" s="1"/>
      <c r="Q38" s="8"/>
      <c r="R38" s="8"/>
      <c r="S38" s="28"/>
      <c r="T38" s="68"/>
      <c r="U38" s="28"/>
      <c r="V38" s="85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 t="s">
        <v>121</v>
      </c>
      <c r="O39" s="42"/>
      <c r="P39" s="1"/>
      <c r="Q39" s="8"/>
      <c r="R39" s="8"/>
      <c r="S39" s="28"/>
      <c r="T39" s="68"/>
      <c r="U39" s="28"/>
      <c r="V39" s="85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 t="s">
        <v>122</v>
      </c>
      <c r="O40" s="28">
        <f>399130000+611418000</f>
        <v>1010548000</v>
      </c>
      <c r="P40" s="8"/>
      <c r="Q40" s="8"/>
      <c r="R40" s="8"/>
      <c r="S40" s="28"/>
      <c r="T40" s="68"/>
      <c r="U40" s="28"/>
      <c r="V40" s="85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8"/>
      <c r="T41" s="68"/>
      <c r="U41" s="28"/>
      <c r="V41" s="85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"/>
      <c r="O42" s="8" t="s">
        <v>123</v>
      </c>
      <c r="P42" s="1"/>
      <c r="Q42" s="1"/>
      <c r="R42" s="1"/>
      <c r="S42" s="69" t="s">
        <v>90</v>
      </c>
      <c r="T42" s="70">
        <f t="shared" ref="T42:U42" si="1">SUM(T5:T34)</f>
        <v>1700267000</v>
      </c>
      <c r="U42" s="70">
        <f t="shared" si="1"/>
        <v>0</v>
      </c>
      <c r="V42" s="79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10" t="s">
        <v>124</v>
      </c>
      <c r="O43" s="28">
        <v>1.8215E9</v>
      </c>
      <c r="P43" s="1"/>
      <c r="Q43" s="1"/>
      <c r="R43" s="1"/>
      <c r="S43" s="1"/>
      <c r="T43" s="1"/>
      <c r="U43" s="1"/>
      <c r="V43" s="79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12" t="s">
        <v>125</v>
      </c>
      <c r="O44" s="28">
        <v>1.841566E9</v>
      </c>
      <c r="P44" s="1"/>
      <c r="Q44" s="1"/>
      <c r="R44" s="1"/>
      <c r="S44" s="1"/>
      <c r="T44" s="8"/>
      <c r="U44" s="1"/>
      <c r="V44" s="79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98" t="s">
        <v>126</v>
      </c>
      <c r="O45" s="17"/>
      <c r="P45" s="1"/>
      <c r="Q45" s="1"/>
      <c r="R45" s="1"/>
      <c r="S45" s="1"/>
      <c r="T45" s="1"/>
      <c r="U45" s="1"/>
      <c r="V45" s="79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99" t="s">
        <v>127</v>
      </c>
      <c r="O46" s="17"/>
      <c r="P46" s="1"/>
      <c r="Q46" s="1"/>
      <c r="R46" s="1"/>
      <c r="S46" s="1"/>
      <c r="T46" s="1"/>
      <c r="U46" s="1"/>
      <c r="V46" s="79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9" t="s">
        <v>128</v>
      </c>
      <c r="O47" s="42">
        <v>6.08092E8</v>
      </c>
      <c r="P47" s="1"/>
      <c r="Q47" s="1"/>
      <c r="R47" s="1"/>
      <c r="S47" s="1"/>
      <c r="T47" s="1"/>
      <c r="U47" s="1"/>
      <c r="V47" s="79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8"/>
      <c r="O48" s="1"/>
      <c r="P48" s="1"/>
      <c r="Q48" s="1"/>
      <c r="R48" s="1"/>
      <c r="S48" s="1"/>
      <c r="T48" s="1"/>
      <c r="U48" s="1"/>
      <c r="V48" s="79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R49" s="1"/>
      <c r="S49" s="1"/>
      <c r="T49" s="1"/>
      <c r="U49" s="1"/>
      <c r="V49" s="79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R50" s="1"/>
      <c r="S50" s="1"/>
      <c r="T50" s="1"/>
      <c r="U50" s="1"/>
      <c r="V50" s="79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R51" s="1"/>
      <c r="S51" s="1"/>
      <c r="T51" s="1"/>
      <c r="U51" s="1"/>
      <c r="V51" s="79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R52" s="1"/>
      <c r="S52" s="1"/>
      <c r="T52" s="1"/>
      <c r="U52" s="1"/>
      <c r="V52" s="79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R53" s="1"/>
      <c r="S53" s="1"/>
      <c r="T53" s="1"/>
      <c r="U53" s="1"/>
      <c r="V53" s="79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R54" s="1"/>
      <c r="S54" s="1"/>
      <c r="T54" s="1"/>
      <c r="U54" s="1"/>
      <c r="V54" s="79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R55" s="1"/>
      <c r="S55" s="1"/>
      <c r="T55" s="1"/>
      <c r="U55" s="1"/>
      <c r="V55" s="79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R56" s="1"/>
      <c r="S56" s="1"/>
      <c r="T56" s="1"/>
      <c r="U56" s="1"/>
      <c r="V56" s="79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R57" s="1"/>
      <c r="S57" s="1"/>
      <c r="T57" s="1"/>
      <c r="U57" s="1"/>
      <c r="V57" s="79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R58" s="1"/>
      <c r="S58" s="1"/>
      <c r="T58" s="1"/>
      <c r="U58" s="1"/>
      <c r="V58" s="79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R59" s="1"/>
      <c r="S59" s="1"/>
      <c r="T59" s="1"/>
      <c r="U59" s="1"/>
      <c r="V59" s="79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R60" s="1"/>
      <c r="S60" s="1"/>
      <c r="T60" s="1"/>
      <c r="U60" s="1"/>
      <c r="V60" s="79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R61" s="1"/>
      <c r="S61" s="1"/>
      <c r="T61" s="1"/>
      <c r="U61" s="1"/>
      <c r="V61" s="79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R62" s="1"/>
      <c r="S62" s="1"/>
      <c r="T62" s="1"/>
      <c r="U62" s="1"/>
      <c r="V62" s="79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R63" s="1"/>
      <c r="S63" s="1"/>
      <c r="T63" s="1"/>
      <c r="U63" s="1"/>
      <c r="V63" s="79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R64" s="1"/>
      <c r="S64" s="1"/>
      <c r="T64" s="1"/>
      <c r="U64" s="1"/>
      <c r="V64" s="79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R65" s="1"/>
      <c r="S65" s="1"/>
      <c r="T65" s="1"/>
      <c r="U65" s="1"/>
      <c r="V65" s="79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R66" s="1"/>
      <c r="S66" s="1"/>
      <c r="T66" s="1"/>
      <c r="U66" s="1"/>
      <c r="V66" s="79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R67" s="1"/>
      <c r="S67" s="1"/>
      <c r="T67" s="1"/>
      <c r="U67" s="1"/>
      <c r="V67" s="79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R68" s="1"/>
      <c r="S68" s="1"/>
      <c r="T68" s="1"/>
      <c r="U68" s="1"/>
      <c r="V68" s="79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R69" s="1"/>
      <c r="S69" s="1"/>
      <c r="T69" s="1"/>
      <c r="U69" s="1"/>
      <c r="V69" s="79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R70" s="1"/>
      <c r="S70" s="1"/>
      <c r="T70" s="1"/>
      <c r="U70" s="1"/>
      <c r="V70" s="79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R71" s="1"/>
      <c r="S71" s="1"/>
      <c r="T71" s="1"/>
      <c r="U71" s="1"/>
      <c r="V71" s="79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R72" s="1"/>
      <c r="S72" s="1"/>
      <c r="T72" s="1"/>
      <c r="U72" s="1"/>
      <c r="V72" s="79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R73" s="1"/>
      <c r="S73" s="1"/>
      <c r="T73" s="1"/>
      <c r="U73" s="1"/>
      <c r="V73" s="79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R74" s="1"/>
      <c r="S74" s="1"/>
      <c r="T74" s="1"/>
      <c r="U74" s="1"/>
      <c r="V74" s="79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R75" s="1"/>
      <c r="S75" s="1"/>
      <c r="T75" s="1"/>
      <c r="U75" s="1"/>
      <c r="V75" s="79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R76" s="1"/>
      <c r="S76" s="1"/>
      <c r="T76" s="1"/>
      <c r="U76" s="1"/>
      <c r="V76" s="79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R77" s="1"/>
      <c r="S77" s="1"/>
      <c r="T77" s="1"/>
      <c r="U77" s="1"/>
      <c r="V77" s="79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R78" s="1"/>
      <c r="S78" s="1"/>
      <c r="T78" s="1"/>
      <c r="U78" s="1"/>
      <c r="V78" s="79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R79" s="1"/>
      <c r="S79" s="1"/>
      <c r="T79" s="1"/>
      <c r="U79" s="1"/>
      <c r="V79" s="79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R80" s="1"/>
      <c r="S80" s="1"/>
      <c r="T80" s="1"/>
      <c r="U80" s="1"/>
      <c r="V80" s="79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R81" s="1"/>
      <c r="S81" s="1"/>
      <c r="T81" s="1"/>
      <c r="U81" s="1"/>
      <c r="V81" s="79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R82" s="1"/>
      <c r="S82" s="1"/>
      <c r="T82" s="1"/>
      <c r="U82" s="1"/>
      <c r="V82" s="79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R83" s="1"/>
      <c r="S83" s="1"/>
      <c r="T83" s="1"/>
      <c r="U83" s="1"/>
      <c r="V83" s="79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R84" s="1"/>
      <c r="S84" s="1"/>
      <c r="T84" s="1"/>
      <c r="U84" s="1"/>
      <c r="V84" s="79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R85" s="1"/>
      <c r="S85" s="1"/>
      <c r="T85" s="1"/>
      <c r="U85" s="1"/>
      <c r="V85" s="79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R86" s="1"/>
      <c r="S86" s="1"/>
      <c r="T86" s="1"/>
      <c r="U86" s="1"/>
      <c r="V86" s="79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R87" s="1"/>
      <c r="S87" s="1"/>
      <c r="T87" s="1"/>
      <c r="U87" s="1"/>
      <c r="V87" s="79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79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79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79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79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79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79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79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79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79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79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79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79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79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79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79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79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79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79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79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79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79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79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79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79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79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79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79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79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79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79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79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79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79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79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79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79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79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79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79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79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79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79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79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79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79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79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79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79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79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79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79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79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79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79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79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79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79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79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79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79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79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79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79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79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79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79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79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79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79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79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79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79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79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79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79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79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79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79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79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79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79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79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79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79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79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79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79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79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79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79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79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79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79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79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79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79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79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79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79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79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79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79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79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79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79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79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79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79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79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79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79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79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79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79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79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79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79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79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79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79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79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79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79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79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79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79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79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79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79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79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79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79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79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79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79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79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79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79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79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79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79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79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79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79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79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79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79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79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79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79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79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79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79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79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79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79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79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79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79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79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79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79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79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79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79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79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79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79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79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79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79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79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79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79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79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79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79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79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79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79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79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79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79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79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79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79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79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79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79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79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79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79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79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79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79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79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79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79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79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79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79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79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79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79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79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79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79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79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79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79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79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79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79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79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79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79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79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79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79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79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79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79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79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79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79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79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79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79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79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79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79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79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79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79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79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79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79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79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79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79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79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79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79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79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79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79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79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79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79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79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79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79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79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79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79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79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79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79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79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79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79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79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79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79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79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79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79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79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79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79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79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79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79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79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79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79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79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79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79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79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79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79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79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79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79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79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79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79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79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79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79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79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79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79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79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79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79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79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79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79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79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79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79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79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79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79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79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79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79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79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79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79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79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79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79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79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79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79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79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79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79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79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79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79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79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79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79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79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79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79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79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79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79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79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79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79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79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79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79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79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79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79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79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79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79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79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79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79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79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79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79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79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79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79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79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79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79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79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79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79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79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79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79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79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79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79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79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79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79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79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79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79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79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79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79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79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79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79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79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79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79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79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79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79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79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79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79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79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79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79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79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79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79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79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79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79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79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79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79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79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79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79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79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79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79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79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79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79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79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79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79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79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79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79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79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79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79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79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79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79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79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79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79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79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79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79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79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79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79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79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79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79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79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79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79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79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79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79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79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79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79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79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79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79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79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79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79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79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79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79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79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79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79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79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79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79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79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79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79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79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79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79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79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79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79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79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79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79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79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79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79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79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79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79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79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79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79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79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79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79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79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79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79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79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79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79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79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79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79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79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79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79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79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79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79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79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79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79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79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79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79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79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79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79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79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79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79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79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79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79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79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79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79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79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79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79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79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79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79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79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79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79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79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79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79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79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79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79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79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79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79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79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79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79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79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79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79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79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79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79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79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79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79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79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79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79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79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79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79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79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79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79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79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79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79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79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79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79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79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79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79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79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79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79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79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79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79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79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79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79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79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79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79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79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79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79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79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79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79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79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79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79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79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79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79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79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79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79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79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79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79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79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79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79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79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79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79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79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79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79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79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79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79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79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79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79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79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79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79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79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79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79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79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79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79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79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79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79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79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79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79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79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79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79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79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79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79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79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79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79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79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79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79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79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79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79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79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79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79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79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79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79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79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79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79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79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79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79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79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79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79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79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79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79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79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79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79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79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79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79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79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79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79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79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79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79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79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79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79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79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79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79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79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79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79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79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79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79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79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79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79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79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79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79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79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79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79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79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79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79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79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79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79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79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79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79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79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79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79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79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79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79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79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79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79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79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79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79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79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79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79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79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79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79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79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79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79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79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79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79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79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79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79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79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79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79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79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79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79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79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79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79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79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79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79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79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79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79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79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79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79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79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79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79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79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79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79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79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79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79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79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79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79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79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79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79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79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79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79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79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79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79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79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79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79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79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79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79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79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79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79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79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79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79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79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79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79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79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79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79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79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79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79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79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79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79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79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79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79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79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79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79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79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79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79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79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79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79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79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79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79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79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79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79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79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79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79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79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79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79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79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79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79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79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79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79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79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79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79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79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79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79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79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79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79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79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79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79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79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79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79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79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79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79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79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79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79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79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79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79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79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79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79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79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79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79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79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79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79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79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79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79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79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79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79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79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79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79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79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79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79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79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79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79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79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79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79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79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79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79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79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79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79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79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79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79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79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79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79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79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79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"/>
      <c r="U969" s="1"/>
      <c r="V969" s="79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"/>
      <c r="U970" s="1"/>
      <c r="V970" s="79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"/>
      <c r="U971" s="1"/>
      <c r="V971" s="79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"/>
      <c r="U972" s="1"/>
      <c r="V972" s="79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"/>
      <c r="U973" s="1"/>
      <c r="V973" s="79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Q974" s="1"/>
      <c r="R974" s="1"/>
      <c r="S974" s="1"/>
      <c r="T974" s="1"/>
      <c r="U974" s="1"/>
      <c r="V974" s="79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Q975" s="1"/>
      <c r="R975" s="1"/>
      <c r="S975" s="1"/>
      <c r="T975" s="1"/>
      <c r="U975" s="1"/>
      <c r="V975" s="79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Q976" s="1"/>
      <c r="R976" s="1"/>
      <c r="S976" s="1"/>
      <c r="T976" s="1"/>
      <c r="U976" s="1"/>
      <c r="V976" s="79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Q977" s="1"/>
      <c r="R977" s="1"/>
      <c r="S977" s="1"/>
      <c r="T977" s="1"/>
      <c r="U977" s="1"/>
      <c r="V977" s="79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Q978" s="1"/>
      <c r="R978" s="1"/>
      <c r="S978" s="1"/>
      <c r="T978" s="1"/>
      <c r="U978" s="1"/>
      <c r="V978" s="79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Q979" s="1"/>
      <c r="R979" s="1"/>
      <c r="S979" s="1"/>
      <c r="T979" s="1"/>
      <c r="U979" s="1"/>
      <c r="V979" s="79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Q980" s="1"/>
      <c r="R980" s="1"/>
      <c r="S980" s="1"/>
      <c r="T980" s="1"/>
      <c r="U980" s="1"/>
      <c r="V980" s="79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Q981" s="1"/>
      <c r="R981" s="1"/>
      <c r="S981" s="1"/>
      <c r="T981" s="1"/>
      <c r="U981" s="1"/>
      <c r="V981" s="79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Q982" s="1"/>
      <c r="R982" s="1"/>
      <c r="S982" s="1"/>
      <c r="T982" s="1"/>
      <c r="U982" s="1"/>
      <c r="V982" s="79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Q983" s="1"/>
      <c r="R983" s="1"/>
      <c r="S983" s="1"/>
      <c r="T983" s="1"/>
      <c r="U983" s="1"/>
      <c r="V983" s="79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Q984" s="1"/>
      <c r="R984" s="1"/>
      <c r="S984" s="1"/>
      <c r="T984" s="1"/>
      <c r="U984" s="1"/>
      <c r="V984" s="79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Q985" s="1"/>
      <c r="R985" s="1"/>
      <c r="S985" s="1"/>
      <c r="T985" s="1"/>
      <c r="U985" s="1"/>
      <c r="V985" s="79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Q986" s="1"/>
      <c r="R986" s="1"/>
      <c r="S986" s="1"/>
      <c r="T986" s="1"/>
      <c r="U986" s="1"/>
      <c r="V986" s="79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Q987" s="1"/>
      <c r="R987" s="1"/>
      <c r="S987" s="1"/>
      <c r="T987" s="1"/>
      <c r="U987" s="1"/>
      <c r="V987" s="79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Q988" s="1"/>
      <c r="R988" s="1"/>
      <c r="S988" s="1"/>
      <c r="T988" s="1"/>
      <c r="U988" s="1"/>
      <c r="V988" s="79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Q989" s="1"/>
      <c r="R989" s="1"/>
      <c r="S989" s="1"/>
      <c r="T989" s="1"/>
      <c r="U989" s="1"/>
      <c r="V989" s="79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Q990" s="1"/>
      <c r="R990" s="1"/>
      <c r="S990" s="1"/>
      <c r="T990" s="1"/>
      <c r="U990" s="1"/>
      <c r="V990" s="79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Q991" s="1"/>
      <c r="R991" s="1"/>
      <c r="S991" s="1"/>
      <c r="T991" s="1"/>
      <c r="U991" s="1"/>
      <c r="V991" s="79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Q992" s="1"/>
      <c r="R992" s="1"/>
      <c r="S992" s="1"/>
      <c r="T992" s="1"/>
      <c r="U992" s="1"/>
      <c r="V992" s="79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Q993" s="1"/>
      <c r="R993" s="1"/>
      <c r="S993" s="1"/>
      <c r="T993" s="1"/>
      <c r="U993" s="1"/>
      <c r="V993" s="79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Q994" s="1"/>
      <c r="R994" s="1"/>
      <c r="S994" s="1"/>
      <c r="T994" s="1"/>
      <c r="U994" s="1"/>
      <c r="V994" s="79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Q995" s="1"/>
      <c r="R995" s="1"/>
      <c r="S995" s="1"/>
      <c r="T995" s="1"/>
      <c r="U995" s="1"/>
      <c r="V995" s="79"/>
      <c r="W995" s="1"/>
      <c r="X995" s="1"/>
      <c r="Y995" s="1"/>
      <c r="Z995" s="1"/>
    </row>
  </sheetData>
  <mergeCells count="5">
    <mergeCell ref="S4:V4"/>
    <mergeCell ref="D5:E5"/>
    <mergeCell ref="G5:H5"/>
    <mergeCell ref="J5:L5"/>
    <mergeCell ref="J18:L18"/>
  </mergeCells>
  <dataValidations>
    <dataValidation type="list" allowBlank="1" showErrorMessage="1" sqref="F6:F10">
      <formula1>"Sales &amp; Marketing,General &amp; Admin,R&amp;D,Salaries &amp; Benefits,Other expenses"</formula1>
    </dataValidation>
    <dataValidation type="list" allowBlank="1" showErrorMessage="1" sqref="Q6:Q41">
      <formula1>"Australia,Germany,Singapore,United States,United Kingdom/Europe,China,South Korea,Japan,Hong Kong,Vietnam,Malaysia,India"</formula1>
    </dataValidation>
    <dataValidation type="list" allowBlank="1" showErrorMessage="1" sqref="C6:C14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R6:R41">
      <formula1>"Business Space, Life Sciences,Industrial,Logistics,Data Centers,Retail,Office,Hi-Tech Buildings,Flatted Factories,Stack-up Buildings"</formula1>
    </dataValidation>
  </dataValidations>
  <hyperlinks>
    <hyperlink r:id="rId1" ref="B1"/>
    <hyperlink r:id="rId2" ref="B2"/>
  </hyperlinks>
  <drawing r:id="rId3"/>
</worksheet>
</file>